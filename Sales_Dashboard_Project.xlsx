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8_{F5708CD2-3C7F-447F-84D6-71D8A9D2C770}" xr6:coauthVersionLast="47" xr6:coauthVersionMax="47" xr10:uidLastSave="{00000000-0000-0000-0000-000000000000}"/>
  <bookViews>
    <workbookView xWindow="-108" yWindow="-108" windowWidth="23256" windowHeight="13176" activeTab="5" xr2:uid="{00000000-000D-0000-FFFF-FFFF00000000}"/>
  </bookViews>
  <sheets>
    <sheet name="Raw_Data" sheetId="1" r:id="rId1"/>
    <sheet name="Project_Instructions" sheetId="2" r:id="rId2"/>
    <sheet name="Answer_Key" sheetId="3" r:id="rId3"/>
    <sheet name="Clean__Sales__Data" sheetId="5" r:id="rId4"/>
    <sheet name="Analysis_Pivot_Table" sheetId="6" r:id="rId5"/>
    <sheet name="Student_Dashboard" sheetId="4" r:id="rId6"/>
  </sheets>
  <definedNames>
    <definedName name="ExternalData_1" localSheetId="3" hidden="1">Clean__Sales__Data!$A$1:$G$35</definedName>
    <definedName name="Slicer_Product_Category">#N/A</definedName>
    <definedName name="Slicer_Region">#N/A</definedName>
  </definedNames>
  <calcPr calcId="0"/>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50EC23-C2B3-4039-81B9-63F77E2C9A95}" keepAlive="1" name="Query - Clean\_Sales\_Data" description="Connection to the 'Clean\_Sales\_Data' query in the workbook." type="5" refreshedVersion="8" background="1" saveData="1">
    <dbPr connection="Provider=Microsoft.Mashup.OleDb.1;Data Source=$Workbook$;Location=Clean\_Sales\_Data;Extended Properties=&quot;&quot;" command="SELECT * FROM [Clean\_Sales\_Data]"/>
  </connection>
</connections>
</file>

<file path=xl/sharedStrings.xml><?xml version="1.0" encoding="utf-8"?>
<sst xmlns="http://schemas.openxmlformats.org/spreadsheetml/2006/main" count="379" uniqueCount="161">
  <si>
    <t>Order ID</t>
  </si>
  <si>
    <t>Date</t>
  </si>
  <si>
    <t>Region</t>
  </si>
  <si>
    <t>Salesperson</t>
  </si>
  <si>
    <t>Product Category</t>
  </si>
  <si>
    <t>Units</t>
  </si>
  <si>
    <t>Revenue</t>
  </si>
  <si>
    <t>01/05/2025</t>
  </si>
  <si>
    <t>North</t>
  </si>
  <si>
    <t>Amit</t>
  </si>
  <si>
    <t>Electronics</t>
  </si>
  <si>
    <t>2025-01-07</t>
  </si>
  <si>
    <t xml:space="preserve"> north </t>
  </si>
  <si>
    <t>PRIYA</t>
  </si>
  <si>
    <t xml:space="preserve">electronics </t>
  </si>
  <si>
    <t>Jan 09 2025</t>
  </si>
  <si>
    <t>South</t>
  </si>
  <si>
    <t>Rahul</t>
  </si>
  <si>
    <t>Furniture</t>
  </si>
  <si>
    <t>10/01/25</t>
  </si>
  <si>
    <t xml:space="preserve">SOUTH </t>
  </si>
  <si>
    <t>Neha</t>
  </si>
  <si>
    <t>2025/01/12</t>
  </si>
  <si>
    <t>West</t>
  </si>
  <si>
    <t>Karan</t>
  </si>
  <si>
    <t>Office Supplies</t>
  </si>
  <si>
    <t>13-Jan-2025</t>
  </si>
  <si>
    <t>west</t>
  </si>
  <si>
    <t>KARAN</t>
  </si>
  <si>
    <t>15/01/2025</t>
  </si>
  <si>
    <t>East</t>
  </si>
  <si>
    <t>Sneha</t>
  </si>
  <si>
    <t>2025-01-17</t>
  </si>
  <si>
    <t xml:space="preserve">EAST </t>
  </si>
  <si>
    <t xml:space="preserve">sneha </t>
  </si>
  <si>
    <t>18 Jan 2025</t>
  </si>
  <si>
    <t>20/01/2025</t>
  </si>
  <si>
    <t xml:space="preserve">North </t>
  </si>
  <si>
    <t>2025-01-22</t>
  </si>
  <si>
    <t>electronics</t>
  </si>
  <si>
    <t>23/01/2025</t>
  </si>
  <si>
    <t xml:space="preserve">Electronics </t>
  </si>
  <si>
    <t>25-Jan-2025</t>
  </si>
  <si>
    <t>2025-01-27</t>
  </si>
  <si>
    <t xml:space="preserve">Karan </t>
  </si>
  <si>
    <t>28/01/2025</t>
  </si>
  <si>
    <t>30/01/2025</t>
  </si>
  <si>
    <t>02/02/2025</t>
  </si>
  <si>
    <t>2025-02-04</t>
  </si>
  <si>
    <t>north</t>
  </si>
  <si>
    <t xml:space="preserve">Amit </t>
  </si>
  <si>
    <t>Feb 06 2025</t>
  </si>
  <si>
    <t xml:space="preserve"> rahul</t>
  </si>
  <si>
    <t>07/02/2025</t>
  </si>
  <si>
    <t xml:space="preserve">Furniture </t>
  </si>
  <si>
    <t>2025/02/09</t>
  </si>
  <si>
    <t>10-Feb-2025</t>
  </si>
  <si>
    <t xml:space="preserve">West </t>
  </si>
  <si>
    <t>Office  Supplies</t>
  </si>
  <si>
    <t>12/02/2025</t>
  </si>
  <si>
    <t>2025-02-14</t>
  </si>
  <si>
    <t>15 Feb 2025</t>
  </si>
  <si>
    <t>16/02/25</t>
  </si>
  <si>
    <t>18/02/2025</t>
  </si>
  <si>
    <t>2025-02-20</t>
  </si>
  <si>
    <t xml:space="preserve">South </t>
  </si>
  <si>
    <t>22-Feb-2025</t>
  </si>
  <si>
    <t>23/02/2025</t>
  </si>
  <si>
    <t>25/02/2025</t>
  </si>
  <si>
    <t>2025-02-27</t>
  </si>
  <si>
    <t xml:space="preserve">East </t>
  </si>
  <si>
    <t xml:space="preserve">Sneha </t>
  </si>
  <si>
    <t>31/02/2025</t>
  </si>
  <si>
    <t>2025-03-02</t>
  </si>
  <si>
    <t>POWER QUERY + EXCEL CHART PROJECT</t>
  </si>
  <si>
    <t>Scenario</t>
  </si>
  <si>
    <t>You are a junior data analyst. Clean the sales data using Power Query and then build charts from the cleaned data.</t>
  </si>
  <si>
    <t>Important</t>
  </si>
  <si>
    <t>Do NOT manually clean the Raw_Data sheet. Use Power Query for the cleaning tasks.</t>
  </si>
  <si>
    <t>Expected output</t>
  </si>
  <si>
    <t>Create a cleaned query/table and use it for analysis/charts.</t>
  </si>
  <si>
    <t>POWER QUERY CLEANING TASKS</t>
  </si>
  <si>
    <t>1</t>
  </si>
  <si>
    <t>Load Raw_Data into Power Query.</t>
  </si>
  <si>
    <t>2</t>
  </si>
  <si>
    <t>Check data types and assign appropriate types to each column.</t>
  </si>
  <si>
    <t>3</t>
  </si>
  <si>
    <t>Clean extra spaces from Region, Salesperson and Product Category.</t>
  </si>
  <si>
    <t>4</t>
  </si>
  <si>
    <t>Standardize text capitalization consistently.</t>
  </si>
  <si>
    <t>5</t>
  </si>
  <si>
    <t>Fix the double-space issue in Product Category.</t>
  </si>
  <si>
    <t>6</t>
  </si>
  <si>
    <t>Convert Revenue values such as '7,000' and '9,450' into numbers.</t>
  </si>
  <si>
    <t>7</t>
  </si>
  <si>
    <t>Handle the missing Units value appropriately. Document your decision.</t>
  </si>
  <si>
    <t>8</t>
  </si>
  <si>
    <t>Identify the invalid date '31/02/2025' and handle it appropriately.</t>
  </si>
  <si>
    <t>9</t>
  </si>
  <si>
    <t>Find and remove the exact duplicate record.</t>
  </si>
  <si>
    <t>10</t>
  </si>
  <si>
    <t>Check for duplicate Order IDs and decide how to handle them.</t>
  </si>
  <si>
    <t>11</t>
  </si>
  <si>
    <t>Create a cleaned table/query named Clean_Sales_Data.</t>
  </si>
  <si>
    <t>CHART / ANALYSIS QUESTIONS</t>
  </si>
  <si>
    <t>Q1</t>
  </si>
  <si>
    <t>Which region generates the highest total revenue? Create a column/bar chart.</t>
  </si>
  <si>
    <t>Q2</t>
  </si>
  <si>
    <t>Which product category generates the highest total revenue? Create a bar chart.</t>
  </si>
  <si>
    <t>Q3</t>
  </si>
  <si>
    <t>Which salesperson generates the highest total revenue? Create a horizontal bar chart.</t>
  </si>
  <si>
    <t>Q4</t>
  </si>
  <si>
    <t>Show total revenue by month. Create a line chart.</t>
  </si>
  <si>
    <t>Q5</t>
  </si>
  <si>
    <t>Which region sells the highest number of units? Create a column chart.</t>
  </si>
  <si>
    <t>Q6</t>
  </si>
  <si>
    <t>Show the revenue contribution of each product category. Create a pie chart.</t>
  </si>
  <si>
    <t>Q7</t>
  </si>
  <si>
    <t>Compare total revenue and total units by region. Choose an appropriate chart.</t>
  </si>
  <si>
    <t>Q8</t>
  </si>
  <si>
    <t>Write 3 business insights based on your charts.</t>
  </si>
  <si>
    <t>CHALLENGE</t>
  </si>
  <si>
    <t>Create a one-page mini dashboard using your cleaned data and at least 3 charts.</t>
  </si>
  <si>
    <t>QUESTION</t>
  </si>
  <si>
    <t>EXPECTED ANSWER / CHECK</t>
  </si>
  <si>
    <t>STUDENT FORMULA / METHOD</t>
  </si>
  <si>
    <t>North has the highest total revenue after cleaning.</t>
  </si>
  <si>
    <t>Use SUMIFS, PivotTable, or Power Query aggregation.</t>
  </si>
  <si>
    <t>Electronics has the highest total revenue.</t>
  </si>
  <si>
    <t>Use SUMIFS or PivotTable.</t>
  </si>
  <si>
    <t>Amit has the highest total revenue.</t>
  </si>
  <si>
    <t>Revenue should be analyzed month-wise from the cleaned Date column.</t>
  </si>
  <si>
    <t>Create Month/Month-Year and use SUMIFS/PivotTable.</t>
  </si>
  <si>
    <t>East has the highest total units based on the cleaned records.</t>
  </si>
  <si>
    <t>Electronics should have the largest revenue share.</t>
  </si>
  <si>
    <t>Calculate category totals and chart the shares.</t>
  </si>
  <si>
    <t>Compare region-level Revenue and Units using two compatible series.</t>
  </si>
  <si>
    <t>PivotTable + clustered column chart.</t>
  </si>
  <si>
    <t>Insights will depend on the cleaned results and charts.</t>
  </si>
  <si>
    <t>Write 3 observations in business language.</t>
  </si>
  <si>
    <t>POWER QUERY SKILLS PRACTICED</t>
  </si>
  <si>
    <t>Change data types</t>
  </si>
  <si>
    <t>Trim/Clean text</t>
  </si>
  <si>
    <t>Replace values</t>
  </si>
  <si>
    <t>Handle errors</t>
  </si>
  <si>
    <t>Handle missing values</t>
  </si>
  <si>
    <t>Remove duplicates</t>
  </si>
  <si>
    <t>Filter invalid records</t>
  </si>
  <si>
    <t>Load cleaned data back to Excel</t>
  </si>
  <si>
    <t>Priya</t>
  </si>
  <si>
    <t>Row Labels</t>
  </si>
  <si>
    <t>Grand Total</t>
  </si>
  <si>
    <t>Sum of Revenue</t>
  </si>
  <si>
    <t>Jan</t>
  </si>
  <si>
    <t>Feb</t>
  </si>
  <si>
    <t>Mar</t>
  </si>
  <si>
    <t>May</t>
  </si>
  <si>
    <t>Sum of Units</t>
  </si>
  <si>
    <r>
      <t>North is the top-performing region</t>
    </r>
    <r>
      <rPr>
        <sz val="11"/>
        <color theme="1"/>
        <rFont val="Calibri"/>
        <family val="2"/>
        <scheme val="minor"/>
      </rPr>
      <t xml:space="preserve"> generating the highest revenue at </t>
    </r>
    <r>
      <rPr>
        <b/>
        <sz val="11"/>
        <color theme="1"/>
        <rFont val="Calibri"/>
        <family val="2"/>
        <scheme val="minor"/>
      </rPr>
      <t>₹172,500</t>
    </r>
    <r>
      <rPr>
        <sz val="11"/>
        <color theme="1"/>
        <rFont val="Calibri"/>
        <family val="2"/>
        <scheme val="minor"/>
      </rPr>
      <t xml:space="preserve"> followed by East at ₹160,700.</t>
    </r>
  </si>
  <si>
    <r>
      <t>Monthly trends cannot be reliably interpreted</t>
    </r>
    <r>
      <rPr>
        <sz val="11"/>
        <color theme="1"/>
        <rFont val="Calibri"/>
        <family val="2"/>
        <scheme val="minor"/>
      </rPr>
      <t xml:space="preserve"> as the available data points are insufficient to establish a clear trend or seasonality.</t>
    </r>
  </si>
  <si>
    <r>
      <t>Electronics is the best-selling category</t>
    </r>
    <r>
      <rPr>
        <sz val="11"/>
        <color theme="1"/>
        <rFont val="Calibri"/>
        <family val="2"/>
        <scheme val="minor"/>
      </rPr>
      <t xml:space="preserve"> contributing </t>
    </r>
    <r>
      <rPr>
        <b/>
        <sz val="11"/>
        <color theme="1"/>
        <rFont val="Calibri"/>
        <family val="2"/>
        <scheme val="minor"/>
      </rPr>
      <t>₹283,500 (52%)</t>
    </r>
    <r>
      <rPr>
        <sz val="11"/>
        <color theme="1"/>
        <rFont val="Calibri"/>
        <family val="2"/>
        <scheme val="minor"/>
      </rPr>
      <t xml:space="preserve"> of total revenue, making it the largest revenue generator.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</si>
</sst>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b/>
      <sz val="14"/>
      <name val="Calibri"/>
    </font>
    <font>
      <b/>
      <sz val="16"/>
      <name val="Calibri"/>
    </font>
    <font>
      <b/>
      <sz val="11"/>
      <color theme="1"/>
      <name val="Calibri"/>
      <family val="2"/>
      <scheme val="minor"/>
    </font>
    <font>
      <b/>
      <sz val="14"/>
      <color theme="0"/>
      <name val="Calibri"/>
      <family val="2"/>
      <scheme val="minor"/>
    </font>
  </fonts>
  <fills count="5">
    <fill>
      <patternFill patternType="none"/>
    </fill>
    <fill>
      <patternFill patternType="gray125"/>
    </fill>
    <fill>
      <patternFill patternType="solid">
        <fgColor rgb="FFD9EAF7"/>
      </patternFill>
    </fill>
    <fill>
      <patternFill patternType="solid">
        <fgColor theme="7" tint="-0.499984740745262"/>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17">
    <xf numFmtId="0" fontId="0" fillId="0" borderId="0" xfId="0"/>
    <xf numFmtId="0" fontId="1" fillId="2" borderId="0" xfId="0" applyFont="1" applyFill="1" applyAlignment="1">
      <alignment horizontal="center"/>
    </xf>
    <xf numFmtId="0" fontId="2" fillId="0" borderId="0" xfId="0" applyFont="1" applyAlignment="1">
      <alignment vertical="top"/>
    </xf>
    <xf numFmtId="0" fontId="0" fillId="0" borderId="0" xfId="0" applyAlignment="1">
      <alignment vertical="top" wrapText="1"/>
    </xf>
    <xf numFmtId="0" fontId="0" fillId="0" borderId="0" xfId="0" applyAlignment="1">
      <alignment vertical="top"/>
    </xf>
    <xf numFmtId="0" fontId="1" fillId="0" borderId="0" xfId="0" applyFont="1" applyAlignment="1">
      <alignment vertical="top"/>
    </xf>
    <xf numFmtId="0" fontId="1" fillId="0" borderId="0" xfId="0" applyFont="1"/>
    <xf numFmtId="0" fontId="1" fillId="2" borderId="0" xfId="0" applyFont="1" applyFill="1" applyAlignment="1">
      <alignment vertical="top" wrapText="1"/>
    </xf>
    <xf numFmtId="3"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4" fillId="4" borderId="0" xfId="0" applyFont="1" applyFill="1" applyAlignment="1">
      <alignment horizontal="center"/>
    </xf>
    <xf numFmtId="0" fontId="5" fillId="3" borderId="0" xfId="0" applyFont="1" applyFill="1" applyAlignment="1">
      <alignment horizontal="center"/>
    </xf>
    <xf numFmtId="0" fontId="0" fillId="0" borderId="0" xfId="0" applyNumberFormat="1"/>
    <xf numFmtId="0" fontId="3" fillId="0" borderId="0" xfId="0" applyFont="1" applyProtection="1">
      <protection locked="0"/>
    </xf>
    <xf numFmtId="0" fontId="4" fillId="4" borderId="0" xfId="0" applyFont="1" applyFill="1" applyAlignment="1">
      <alignment horizontal="center" vertical="center"/>
    </xf>
  </cellXfs>
  <cellStyles count="1">
    <cellStyle name="Normal" xfId="0" builtinId="0"/>
  </cellStyles>
  <dxfs count="5">
    <dxf>
      <numFmt numFmtId="0" formatCode="General"/>
    </dxf>
    <dxf>
      <numFmt numFmtId="0" formatCode="General"/>
    </dxf>
    <dxf>
      <numFmt numFmtId="0" formatCode="General"/>
    </dxf>
    <dxf>
      <numFmt numFmtId="19" formatCode="dd/mm/yyyy"/>
    </dxf>
    <dxf>
      <font>
        <b/>
        <i val="0"/>
        <strike val="0"/>
        <condense val="0"/>
        <extend val="0"/>
        <outline val="0"/>
        <shadow val="0"/>
        <u val="none"/>
        <vertAlign val="baseline"/>
        <sz val="11"/>
        <color auto="1"/>
        <name val="Calibri"/>
        <scheme val="none"/>
      </font>
      <fill>
        <patternFill patternType="solid">
          <fgColor indexed="64"/>
          <bgColor rgb="FFD9EAF7"/>
        </patternFill>
      </fill>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[Sales_Dashboard_Project.xlsx]Analysis_Pivot_Table!PivotTable1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Region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Analysis_Pivot_Table!$B$3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Analysis_Pivot_Table!$A$4:$A$8</c:f>
              <c:strCache>
                <c:ptCount val="4"/>
                <c:pt idx="0">
                  <c:v>North</c:v>
                </c:pt>
                <c:pt idx="1">
                  <c:v>East</c:v>
                </c:pt>
                <c:pt idx="2">
                  <c:v>South</c:v>
                </c:pt>
                <c:pt idx="3">
                  <c:v>West</c:v>
                </c:pt>
              </c:strCache>
            </c:strRef>
          </c:cat>
          <c:val>
            <c:numRef>
              <c:f>Analysis_Pivot_Table!$B$4:$B$8</c:f>
              <c:numCache>
                <c:formatCode>General</c:formatCode>
                <c:ptCount val="4"/>
                <c:pt idx="0">
                  <c:v>172500</c:v>
                </c:pt>
                <c:pt idx="1">
                  <c:v>160700</c:v>
                </c:pt>
                <c:pt idx="2">
                  <c:v>127150</c:v>
                </c:pt>
                <c:pt idx="3">
                  <c:v>86450</c:v>
                </c:pt>
              </c:numCache>
            </c:numRef>
          </c:val>
          <c:extLst>
            <c:ext xmlns:c16="http://schemas.microsoft.com/office/drawing/2014/chart" uri="{C3380CC4-5D6E-409C-BE32-E72D297353CC}">
              <c16:uniqueId val="{00000000-250D-4722-9BF2-53299780B8F6}"/>
            </c:ext>
          </c:extLst>
        </c:ser>
        <c:dLbls>
          <c:showLegendKey val="0"/>
          <c:showVal val="0"/>
          <c:showCatName val="0"/>
          <c:showSerName val="0"/>
          <c:showPercent val="0"/>
          <c:showBubbleSize val="0"/>
        </c:dLbls>
        <c:gapWidth val="150"/>
        <c:shape val="box"/>
        <c:axId val="133467696"/>
        <c:axId val="124368720"/>
        <c:axId val="0"/>
      </c:bar3DChart>
      <c:catAx>
        <c:axId val="133467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68720"/>
        <c:crosses val="autoZero"/>
        <c:auto val="1"/>
        <c:lblAlgn val="ctr"/>
        <c:lblOffset val="100"/>
        <c:noMultiLvlLbl val="0"/>
      </c:catAx>
      <c:valAx>
        <c:axId val="124368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67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[Sales_Dashboard_Project.xlsx]Analysis_Pivot_Table!PivotTable2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a:t>
            </a:r>
            <a:r>
              <a:rPr lang="en-US" baseline="0"/>
              <a:t>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1.1547344110854433E-2"/>
              <c:y val="-3.28483396097227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3.5283143855944554E-17"/>
              <c:y val="-3.19972963245815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Analysis_Pivot_Table!$B$11</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3-5FB2-4929-B192-B99EBCEF361D}"/>
              </c:ext>
            </c:extLst>
          </c:dPt>
          <c:dPt>
            <c:idx val="1"/>
            <c:invertIfNegative val="0"/>
            <c:bubble3D val="0"/>
            <c:extLst>
              <c:ext xmlns:c16="http://schemas.microsoft.com/office/drawing/2014/chart" uri="{C3380CC4-5D6E-409C-BE32-E72D297353CC}">
                <c16:uniqueId val="{00000002-5FB2-4929-B192-B99EBCEF361D}"/>
              </c:ext>
            </c:extLst>
          </c:dPt>
          <c:dLbls>
            <c:dLbl>
              <c:idx val="0"/>
              <c:layout>
                <c:manualLayout>
                  <c:x val="-3.5283143855944554E-17"/>
                  <c:y val="-3.19972963245815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FB2-4929-B192-B99EBCEF361D}"/>
                </c:ext>
              </c:extLst>
            </c:dLbl>
            <c:dLbl>
              <c:idx val="1"/>
              <c:layout>
                <c:manualLayout>
                  <c:x val="1.1547344110854433E-2"/>
                  <c:y val="-3.28483396097227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FB2-4929-B192-B99EBCEF36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Analysis_Pivot_Table!$A$12:$A$15</c:f>
              <c:strCache>
                <c:ptCount val="3"/>
                <c:pt idx="0">
                  <c:v>Electronics</c:v>
                </c:pt>
                <c:pt idx="1">
                  <c:v>Furniture</c:v>
                </c:pt>
                <c:pt idx="2">
                  <c:v>Office Supplies</c:v>
                </c:pt>
              </c:strCache>
            </c:strRef>
          </c:cat>
          <c:val>
            <c:numRef>
              <c:f>Analysis_Pivot_Table!$B$12:$B$15</c:f>
              <c:numCache>
                <c:formatCode>General</c:formatCode>
                <c:ptCount val="3"/>
                <c:pt idx="0">
                  <c:v>283500</c:v>
                </c:pt>
                <c:pt idx="1">
                  <c:v>190500</c:v>
                </c:pt>
                <c:pt idx="2">
                  <c:v>72800</c:v>
                </c:pt>
              </c:numCache>
            </c:numRef>
          </c:val>
          <c:extLst>
            <c:ext xmlns:c16="http://schemas.microsoft.com/office/drawing/2014/chart" uri="{C3380CC4-5D6E-409C-BE32-E72D297353CC}">
              <c16:uniqueId val="{00000000-5FB2-4929-B192-B99EBCEF361D}"/>
            </c:ext>
          </c:extLst>
        </c:ser>
        <c:dLbls>
          <c:showLegendKey val="0"/>
          <c:showVal val="0"/>
          <c:showCatName val="0"/>
          <c:showSerName val="0"/>
          <c:showPercent val="0"/>
          <c:showBubbleSize val="0"/>
        </c:dLbls>
        <c:gapWidth val="150"/>
        <c:shape val="box"/>
        <c:axId val="133074352"/>
        <c:axId val="124351440"/>
        <c:axId val="0"/>
      </c:bar3DChart>
      <c:catAx>
        <c:axId val="133074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51440"/>
        <c:crosses val="autoZero"/>
        <c:auto val="1"/>
        <c:lblAlgn val="ctr"/>
        <c:lblOffset val="100"/>
        <c:noMultiLvlLbl val="0"/>
      </c:catAx>
      <c:valAx>
        <c:axId val="124351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7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[Sales_Dashboard_Project.xlsx]Analysis_Pivot_Table!PivotTable3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per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Analysis_Pivot_Table!$B$17</c:f>
              <c:strCache>
                <c:ptCount val="1"/>
                <c:pt idx="0">
                  <c:v>Total</c:v>
                </c:pt>
              </c:strCache>
            </c:strRef>
          </c:tx>
          <c:spPr>
            <a:ln w="28575" cap="rnd">
              <a:solidFill>
                <a:schemeClr val="accent1"/>
              </a:solidFill>
              <a:round/>
            </a:ln>
            <a:effectLst/>
          </c:spPr>
          <c:marker>
            <c:symbol val="none"/>
          </c:marker>
          <c:cat>
            <c:strRef>
              <c:f>Analysis_Pivot_Table!$A$18:$A$22</c:f>
              <c:strCache>
                <c:ptCount val="4"/>
                <c:pt idx="0">
                  <c:v>Jan</c:v>
                </c:pt>
                <c:pt idx="1">
                  <c:v>Feb</c:v>
                </c:pt>
                <c:pt idx="2">
                  <c:v>Mar</c:v>
                </c:pt>
                <c:pt idx="3">
                  <c:v>May</c:v>
                </c:pt>
              </c:strCache>
            </c:strRef>
          </c:cat>
          <c:val>
            <c:numRef>
              <c:f>Analysis_Pivot_Table!$B$18:$B$22</c:f>
              <c:numCache>
                <c:formatCode>General</c:formatCode>
                <c:ptCount val="4"/>
                <c:pt idx="0">
                  <c:v>207950</c:v>
                </c:pt>
                <c:pt idx="1">
                  <c:v>299850</c:v>
                </c:pt>
                <c:pt idx="2">
                  <c:v>21000</c:v>
                </c:pt>
                <c:pt idx="3">
                  <c:v>18000</c:v>
                </c:pt>
              </c:numCache>
            </c:numRef>
          </c:val>
          <c:smooth val="0"/>
          <c:extLst>
            <c:ext xmlns:c16="http://schemas.microsoft.com/office/drawing/2014/chart" uri="{C3380CC4-5D6E-409C-BE32-E72D297353CC}">
              <c16:uniqueId val="{00000000-2B95-4476-AF66-3D2D0656F130}"/>
            </c:ext>
          </c:extLst>
        </c:ser>
        <c:dLbls>
          <c:showLegendKey val="0"/>
          <c:showVal val="0"/>
          <c:showCatName val="0"/>
          <c:showSerName val="0"/>
          <c:showPercent val="0"/>
          <c:showBubbleSize val="0"/>
        </c:dLbls>
        <c:smooth val="0"/>
        <c:axId val="133091984"/>
        <c:axId val="124372080"/>
      </c:lineChart>
      <c:catAx>
        <c:axId val="13309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72080"/>
        <c:crosses val="autoZero"/>
        <c:auto val="1"/>
        <c:lblAlgn val="ctr"/>
        <c:lblOffset val="100"/>
        <c:noMultiLvlLbl val="0"/>
      </c:catAx>
      <c:valAx>
        <c:axId val="124372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91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[Sales_Dashboard_Project.xlsx]Analysis_Pivot_Table!PivotTable4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a:t>
            </a:r>
            <a:r>
              <a:rPr lang="en-US" baseline="0"/>
              <a:t> Sold by each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Analysis_Pivot_Table!$B$25</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Analysis_Pivot_Table!$A$26:$A$30</c:f>
              <c:strCache>
                <c:ptCount val="4"/>
                <c:pt idx="0">
                  <c:v>East</c:v>
                </c:pt>
                <c:pt idx="1">
                  <c:v>North</c:v>
                </c:pt>
                <c:pt idx="2">
                  <c:v>South</c:v>
                </c:pt>
                <c:pt idx="3">
                  <c:v>West</c:v>
                </c:pt>
              </c:strCache>
            </c:strRef>
          </c:cat>
          <c:val>
            <c:numRef>
              <c:f>Analysis_Pivot_Table!$B$26:$B$30</c:f>
              <c:numCache>
                <c:formatCode>General</c:formatCode>
                <c:ptCount val="4"/>
                <c:pt idx="0">
                  <c:v>147</c:v>
                </c:pt>
                <c:pt idx="1">
                  <c:v>115</c:v>
                </c:pt>
                <c:pt idx="2">
                  <c:v>119</c:v>
                </c:pt>
                <c:pt idx="3">
                  <c:v>132</c:v>
                </c:pt>
              </c:numCache>
            </c:numRef>
          </c:val>
          <c:extLst>
            <c:ext xmlns:c16="http://schemas.microsoft.com/office/drawing/2014/chart" uri="{C3380CC4-5D6E-409C-BE32-E72D297353CC}">
              <c16:uniqueId val="{00000000-F705-443C-9341-D8B5EE5CB1E1}"/>
            </c:ext>
          </c:extLst>
        </c:ser>
        <c:dLbls>
          <c:showLegendKey val="0"/>
          <c:showVal val="0"/>
          <c:showCatName val="0"/>
          <c:showSerName val="0"/>
          <c:showPercent val="0"/>
          <c:showBubbleSize val="0"/>
        </c:dLbls>
        <c:gapWidth val="150"/>
        <c:shape val="box"/>
        <c:axId val="133049760"/>
        <c:axId val="124352400"/>
        <c:axId val="0"/>
      </c:bar3DChart>
      <c:catAx>
        <c:axId val="133049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52400"/>
        <c:crosses val="autoZero"/>
        <c:auto val="1"/>
        <c:lblAlgn val="ctr"/>
        <c:lblOffset val="100"/>
        <c:noMultiLvlLbl val="0"/>
      </c:catAx>
      <c:valAx>
        <c:axId val="124352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4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[Sales_Dashboard_Project.xlsx]Analysis_Pivot_Table!PivotTable2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4.9028650210858463E-2"/>
              <c:y val="0.133044304281861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dLbl>
          <c:idx val="0"/>
          <c:layout>
            <c:manualLayout>
              <c:x val="-6.1553717302191162E-2"/>
              <c:y val="-0.165857205242140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Analysis_Pivot_Table!$B$11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3-9A3C-4BC5-BCEE-F5E292AAA71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2-9A3C-4BC5-BCEE-F5E292AAA71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2DF-4528-8368-7C70F0420E50}"/>
              </c:ext>
            </c:extLst>
          </c:dPt>
          <c:dLbls>
            <c:dLbl>
              <c:idx val="0"/>
              <c:layout>
                <c:manualLayout>
                  <c:x val="-6.1553717302191162E-2"/>
                  <c:y val="-0.1658572052421406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A3C-4BC5-BCEE-F5E292AAA718}"/>
                </c:ext>
              </c:extLst>
            </c:dLbl>
            <c:dLbl>
              <c:idx val="1"/>
              <c:layout>
                <c:manualLayout>
                  <c:x val="4.9028650210858463E-2"/>
                  <c:y val="0.1330443042818618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A3C-4BC5-BCEE-F5E292AAA71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Analysis_Pivot_Table!$A$12:$A$15</c:f>
              <c:strCache>
                <c:ptCount val="3"/>
                <c:pt idx="0">
                  <c:v>Electronics</c:v>
                </c:pt>
                <c:pt idx="1">
                  <c:v>Furniture</c:v>
                </c:pt>
                <c:pt idx="2">
                  <c:v>Office Supplies</c:v>
                </c:pt>
              </c:strCache>
            </c:strRef>
          </c:cat>
          <c:val>
            <c:numRef>
              <c:f>Analysis_Pivot_Table!$B$12:$B$15</c:f>
              <c:numCache>
                <c:formatCode>General</c:formatCode>
                <c:ptCount val="3"/>
                <c:pt idx="0">
                  <c:v>283500</c:v>
                </c:pt>
                <c:pt idx="1">
                  <c:v>190500</c:v>
                </c:pt>
                <c:pt idx="2">
                  <c:v>72800</c:v>
                </c:pt>
              </c:numCache>
            </c:numRef>
          </c:val>
          <c:extLst>
            <c:ext xmlns:c16="http://schemas.microsoft.com/office/drawing/2014/chart" uri="{C3380CC4-5D6E-409C-BE32-E72D297353CC}">
              <c16:uniqueId val="{00000000-9A3C-4BC5-BCEE-F5E292AAA71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[Sales_Dashboard_Project.xlsx]Analysis_Pivot_Table!PivotTable5</c:name>
    <c:fmtId val="2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Analysis_Pivot_Table!$B$33</c:f>
              <c:strCache>
                <c:ptCount val="1"/>
                <c:pt idx="0">
                  <c:v>Sum of Units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Analysis_Pivot_Table!$A$34:$A$38</c:f>
              <c:strCache>
                <c:ptCount val="4"/>
                <c:pt idx="0">
                  <c:v>East</c:v>
                </c:pt>
                <c:pt idx="1">
                  <c:v>North</c:v>
                </c:pt>
                <c:pt idx="2">
                  <c:v>South</c:v>
                </c:pt>
                <c:pt idx="3">
                  <c:v>West</c:v>
                </c:pt>
              </c:strCache>
            </c:strRef>
          </c:cat>
          <c:val>
            <c:numRef>
              <c:f>Analysis_Pivot_Table!$B$34:$B$38</c:f>
              <c:numCache>
                <c:formatCode>General</c:formatCode>
                <c:ptCount val="4"/>
                <c:pt idx="0">
                  <c:v>147</c:v>
                </c:pt>
                <c:pt idx="1">
                  <c:v>115</c:v>
                </c:pt>
                <c:pt idx="2">
                  <c:v>119</c:v>
                </c:pt>
                <c:pt idx="3">
                  <c:v>132</c:v>
                </c:pt>
              </c:numCache>
            </c:numRef>
          </c:val>
          <c:extLst>
            <c:ext xmlns:c16="http://schemas.microsoft.com/office/drawing/2014/chart" uri="{C3380CC4-5D6E-409C-BE32-E72D297353CC}">
              <c16:uniqueId val="{00000000-E58F-47E1-A77D-E57008649BE7}"/>
            </c:ext>
          </c:extLst>
        </c:ser>
        <c:ser>
          <c:idx val="1"/>
          <c:order val="1"/>
          <c:tx>
            <c:strRef>
              <c:f>Analysis_Pivot_Table!$C$33</c:f>
              <c:strCache>
                <c:ptCount val="1"/>
                <c:pt idx="0">
                  <c:v>Sum of Revenue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Analysis_Pivot_Table!$A$34:$A$38</c:f>
              <c:strCache>
                <c:ptCount val="4"/>
                <c:pt idx="0">
                  <c:v>East</c:v>
                </c:pt>
                <c:pt idx="1">
                  <c:v>North</c:v>
                </c:pt>
                <c:pt idx="2">
                  <c:v>South</c:v>
                </c:pt>
                <c:pt idx="3">
                  <c:v>West</c:v>
                </c:pt>
              </c:strCache>
            </c:strRef>
          </c:cat>
          <c:val>
            <c:numRef>
              <c:f>Analysis_Pivot_Table!$C$34:$C$38</c:f>
              <c:numCache>
                <c:formatCode>General</c:formatCode>
                <c:ptCount val="4"/>
                <c:pt idx="0">
                  <c:v>160700</c:v>
                </c:pt>
                <c:pt idx="1">
                  <c:v>172500</c:v>
                </c:pt>
                <c:pt idx="2">
                  <c:v>127150</c:v>
                </c:pt>
                <c:pt idx="3">
                  <c:v>86450</c:v>
                </c:pt>
              </c:numCache>
            </c:numRef>
          </c:val>
          <c:extLst>
            <c:ext xmlns:c16="http://schemas.microsoft.com/office/drawing/2014/chart" uri="{C3380CC4-5D6E-409C-BE32-E72D297353CC}">
              <c16:uniqueId val="{00000001-E58F-47E1-A77D-E57008649BE7}"/>
            </c:ext>
          </c:extLst>
        </c:ser>
        <c:dLbls>
          <c:showLegendKey val="0"/>
          <c:showVal val="0"/>
          <c:showCatName val="0"/>
          <c:showSerName val="0"/>
          <c:showPercent val="0"/>
          <c:showBubbleSize val="0"/>
        </c:dLbls>
        <c:gapWidth val="219"/>
        <c:overlap val="-27"/>
        <c:axId val="133098016"/>
        <c:axId val="124324080"/>
      </c:barChart>
      <c:catAx>
        <c:axId val="13309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24080"/>
        <c:crosses val="autoZero"/>
        <c:auto val="1"/>
        <c:lblAlgn val="ctr"/>
        <c:lblOffset val="100"/>
        <c:noMultiLvlLbl val="0"/>
      </c:catAx>
      <c:valAx>
        <c:axId val="124324080"/>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98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[Sales_Dashboard_Project.xlsx]Analysis_Pivot_Table!PivotTable1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lumMod val="95000"/>
                    <a:lumOff val="5000"/>
                  </a:schemeClr>
                </a:solidFill>
              </a:rPr>
              <a:t>Total Revenue by Region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4"/>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Analysis_Pivot_Table!$B$3</c:f>
              <c:strCache>
                <c:ptCount val="1"/>
                <c:pt idx="0">
                  <c:v>Total</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Analysis_Pivot_Table!$A$4:$A$8</c:f>
              <c:strCache>
                <c:ptCount val="4"/>
                <c:pt idx="0">
                  <c:v>North</c:v>
                </c:pt>
                <c:pt idx="1">
                  <c:v>East</c:v>
                </c:pt>
                <c:pt idx="2">
                  <c:v>South</c:v>
                </c:pt>
                <c:pt idx="3">
                  <c:v>West</c:v>
                </c:pt>
              </c:strCache>
            </c:strRef>
          </c:cat>
          <c:val>
            <c:numRef>
              <c:f>Analysis_Pivot_Table!$B$4:$B$8</c:f>
              <c:numCache>
                <c:formatCode>General</c:formatCode>
                <c:ptCount val="4"/>
                <c:pt idx="0">
                  <c:v>172500</c:v>
                </c:pt>
                <c:pt idx="1">
                  <c:v>160700</c:v>
                </c:pt>
                <c:pt idx="2">
                  <c:v>127150</c:v>
                </c:pt>
                <c:pt idx="3">
                  <c:v>86450</c:v>
                </c:pt>
              </c:numCache>
            </c:numRef>
          </c:val>
          <c:extLst>
            <c:ext xmlns:c16="http://schemas.microsoft.com/office/drawing/2014/chart" uri="{C3380CC4-5D6E-409C-BE32-E72D297353CC}">
              <c16:uniqueId val="{00000000-ED0E-483B-8D5C-B14CED2F64EA}"/>
            </c:ext>
          </c:extLst>
        </c:ser>
        <c:dLbls>
          <c:showLegendKey val="0"/>
          <c:showVal val="0"/>
          <c:showCatName val="0"/>
          <c:showSerName val="0"/>
          <c:showPercent val="0"/>
          <c:showBubbleSize val="0"/>
        </c:dLbls>
        <c:gapWidth val="150"/>
        <c:shape val="box"/>
        <c:axId val="133467696"/>
        <c:axId val="124368720"/>
        <c:axId val="0"/>
      </c:bar3DChart>
      <c:catAx>
        <c:axId val="133467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68720"/>
        <c:crosses val="autoZero"/>
        <c:auto val="1"/>
        <c:lblAlgn val="ctr"/>
        <c:lblOffset val="100"/>
        <c:noMultiLvlLbl val="0"/>
      </c:catAx>
      <c:valAx>
        <c:axId val="124368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67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[Sales_Dashboard_Project.xlsx]Analysis_Pivot_Table!PivotTable2</c:name>
    <c:fmtId val="18"/>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600">
                <a:solidFill>
                  <a:schemeClr val="tx1">
                    <a:lumMod val="95000"/>
                    <a:lumOff val="5000"/>
                  </a:schemeClr>
                </a:solidFill>
                <a:latin typeface="+mn-lt"/>
              </a:rPr>
              <a:t>Total Revenue by Product Category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1.1547344110854433E-2"/>
              <c:y val="-3.284833960972274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3.5283143855944554E-17"/>
              <c:y val="-3.199729632458155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3.5283143855944554E-17"/>
              <c:y val="-3.199729632458155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1.1547344110854433E-2"/>
              <c:y val="-3.284833960972274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6">
                  <a:alpha val="0"/>
                </a:schemeClr>
              </a:gs>
              <a:gs pos="50000">
                <a:schemeClr val="accent6"/>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100000">
                <a:schemeClr val="accent6">
                  <a:alpha val="0"/>
                </a:schemeClr>
              </a:gs>
              <a:gs pos="50000">
                <a:schemeClr val="accent6"/>
              </a:gs>
            </a:gsLst>
            <a:lin ang="5400000" scaled="0"/>
          </a:gradFill>
          <a:ln>
            <a:noFill/>
          </a:ln>
          <a:effectLst/>
          <a:sp3d/>
        </c:spPr>
        <c:dLbl>
          <c:idx val="0"/>
          <c:layout>
            <c:manualLayout>
              <c:x val="-3.5283143855944554E-17"/>
              <c:y val="-3.19972963245815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6">
                  <a:alpha val="0"/>
                </a:schemeClr>
              </a:gs>
              <a:gs pos="50000">
                <a:schemeClr val="accent6"/>
              </a:gs>
            </a:gsLst>
            <a:lin ang="5400000" scaled="0"/>
          </a:gradFill>
          <a:ln>
            <a:noFill/>
          </a:ln>
          <a:effectLst/>
          <a:sp3d/>
        </c:spPr>
        <c:dLbl>
          <c:idx val="0"/>
          <c:layout>
            <c:manualLayout>
              <c:x val="1.1547344110854433E-2"/>
              <c:y val="-3.28483396097227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Analysis_Pivot_Table!$B$11</c:f>
              <c:strCache>
                <c:ptCount val="1"/>
                <c:pt idx="0">
                  <c:v>Total</c:v>
                </c:pt>
              </c:strCache>
            </c:strRef>
          </c:tx>
          <c:spPr>
            <a:gradFill>
              <a:gsLst>
                <a:gs pos="100000">
                  <a:schemeClr val="accent6">
                    <a:alpha val="0"/>
                  </a:schemeClr>
                </a:gs>
                <a:gs pos="50000">
                  <a:schemeClr val="accent6"/>
                </a:gs>
              </a:gsLst>
              <a:lin ang="5400000" scaled="0"/>
            </a:gradFill>
            <a:ln>
              <a:noFill/>
            </a:ln>
            <a:effectLst/>
            <a:sp3d/>
          </c:spPr>
          <c:invertIfNegative val="0"/>
          <c:dPt>
            <c:idx val="0"/>
            <c:invertIfNegative val="0"/>
            <c:bubble3D val="0"/>
            <c:spPr>
              <a:gradFill>
                <a:gsLst>
                  <a:gs pos="100000">
                    <a:schemeClr val="accent6">
                      <a:alpha val="0"/>
                    </a:schemeClr>
                  </a:gs>
                  <a:gs pos="50000">
                    <a:schemeClr val="accent6"/>
                  </a:gs>
                </a:gsLst>
                <a:lin ang="5400000" scaled="0"/>
              </a:gradFill>
              <a:ln>
                <a:noFill/>
              </a:ln>
              <a:effectLst/>
              <a:sp3d/>
            </c:spPr>
            <c:extLst>
              <c:ext xmlns:c16="http://schemas.microsoft.com/office/drawing/2014/chart" uri="{C3380CC4-5D6E-409C-BE32-E72D297353CC}">
                <c16:uniqueId val="{00000000-2695-4093-BD6F-9F45FD7C7962}"/>
              </c:ext>
            </c:extLst>
          </c:dPt>
          <c:dPt>
            <c:idx val="1"/>
            <c:invertIfNegative val="0"/>
            <c:bubble3D val="0"/>
            <c:spPr>
              <a:gradFill>
                <a:gsLst>
                  <a:gs pos="100000">
                    <a:schemeClr val="accent6">
                      <a:alpha val="0"/>
                    </a:schemeClr>
                  </a:gs>
                  <a:gs pos="50000">
                    <a:schemeClr val="accent6"/>
                  </a:gs>
                </a:gsLst>
                <a:lin ang="5400000" scaled="0"/>
              </a:gradFill>
              <a:ln>
                <a:noFill/>
              </a:ln>
              <a:effectLst/>
              <a:sp3d/>
            </c:spPr>
            <c:extLst>
              <c:ext xmlns:c16="http://schemas.microsoft.com/office/drawing/2014/chart" uri="{C3380CC4-5D6E-409C-BE32-E72D297353CC}">
                <c16:uniqueId val="{00000001-2695-4093-BD6F-9F45FD7C7962}"/>
              </c:ext>
            </c:extLst>
          </c:dPt>
          <c:dLbls>
            <c:dLbl>
              <c:idx val="0"/>
              <c:layout>
                <c:manualLayout>
                  <c:x val="-3.5283143855944554E-17"/>
                  <c:y val="-3.19972963245815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95-4093-BD6F-9F45FD7C7962}"/>
                </c:ext>
              </c:extLst>
            </c:dLbl>
            <c:dLbl>
              <c:idx val="1"/>
              <c:layout>
                <c:manualLayout>
                  <c:x val="1.1547344110854433E-2"/>
                  <c:y val="-3.28483396097227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95-4093-BD6F-9F45FD7C79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Analysis_Pivot_Table!$A$12:$A$15</c:f>
              <c:strCache>
                <c:ptCount val="3"/>
                <c:pt idx="0">
                  <c:v>Electronics</c:v>
                </c:pt>
                <c:pt idx="1">
                  <c:v>Furniture</c:v>
                </c:pt>
                <c:pt idx="2">
                  <c:v>Office Supplies</c:v>
                </c:pt>
              </c:strCache>
            </c:strRef>
          </c:cat>
          <c:val>
            <c:numRef>
              <c:f>Analysis_Pivot_Table!$B$12:$B$15</c:f>
              <c:numCache>
                <c:formatCode>General</c:formatCode>
                <c:ptCount val="3"/>
                <c:pt idx="0">
                  <c:v>283500</c:v>
                </c:pt>
                <c:pt idx="1">
                  <c:v>190500</c:v>
                </c:pt>
                <c:pt idx="2">
                  <c:v>72800</c:v>
                </c:pt>
              </c:numCache>
            </c:numRef>
          </c:val>
          <c:extLst>
            <c:ext xmlns:c16="http://schemas.microsoft.com/office/drawing/2014/chart" uri="{C3380CC4-5D6E-409C-BE32-E72D297353CC}">
              <c16:uniqueId val="{00000002-2695-4093-BD6F-9F45FD7C7962}"/>
            </c:ext>
          </c:extLst>
        </c:ser>
        <c:dLbls>
          <c:showLegendKey val="0"/>
          <c:showVal val="0"/>
          <c:showCatName val="0"/>
          <c:showSerName val="0"/>
          <c:showPercent val="0"/>
          <c:showBubbleSize val="0"/>
        </c:dLbls>
        <c:gapWidth val="150"/>
        <c:gapDepth val="0"/>
        <c:shape val="box"/>
        <c:axId val="133074352"/>
        <c:axId val="124351440"/>
        <c:axId val="0"/>
      </c:bar3DChart>
      <c:catAx>
        <c:axId val="133074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51440"/>
        <c:crosses val="autoZero"/>
        <c:auto val="1"/>
        <c:lblAlgn val="ctr"/>
        <c:lblOffset val="100"/>
        <c:noMultiLvlLbl val="0"/>
      </c:catAx>
      <c:valAx>
        <c:axId val="124351440"/>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7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[Sales_Dashboard_Project.xlsx]Analysis_Pivot_Table!PivotTable3</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tx1">
                    <a:lumMod val="95000"/>
                    <a:lumOff val="5000"/>
                  </a:schemeClr>
                </a:solidFill>
              </a:rPr>
              <a:t>Revenue per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layout>
            <c:manualLayout>
              <c:x val="-2.9394473838918283E-2"/>
              <c:y val="-7.86627335299901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layout>
            <c:manualLayout>
              <c:x val="-3.8212815990593771E-2"/>
              <c:y val="-5.40806293018682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layout>
            <c:manualLayout>
              <c:x val="-5.8788947677836594E-2"/>
              <c:y val="5.40806293018682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Analysis_Pivot_Table!$B$17</c:f>
              <c:strCache>
                <c:ptCount val="1"/>
                <c:pt idx="0">
                  <c:v>Total</c:v>
                </c:pt>
              </c:strCache>
            </c:strRef>
          </c:tx>
          <c:spPr>
            <a:ln w="31750"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Pt>
            <c:idx val="0"/>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bubble3D val="0"/>
            <c:spPr>
              <a:ln w="31750" cap="rnd">
                <a:solidFill>
                  <a:schemeClr val="accent4"/>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3-2CAB-4CE1-A806-C254AE884386}"/>
              </c:ext>
            </c:extLst>
          </c:dPt>
          <c:dPt>
            <c:idx val="2"/>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bubble3D val="0"/>
            <c:spPr>
              <a:ln w="31750" cap="rnd">
                <a:solidFill>
                  <a:schemeClr val="accent4"/>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1-2CAB-4CE1-A806-C254AE884386}"/>
              </c:ext>
            </c:extLst>
          </c:dPt>
          <c:dPt>
            <c:idx val="3"/>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bubble3D val="0"/>
            <c:spPr>
              <a:ln w="31750" cap="rnd">
                <a:solidFill>
                  <a:schemeClr val="accent4"/>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2-2CAB-4CE1-A806-C254AE884386}"/>
              </c:ext>
            </c:extLst>
          </c:dPt>
          <c:dLbls>
            <c:dLbl>
              <c:idx val="0"/>
              <c:layout>
                <c:manualLayout>
                  <c:x val="-5.8788947677836594E-2"/>
                  <c:y val="5.40806293018682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CAB-4CE1-A806-C254AE884386}"/>
                </c:ext>
              </c:extLst>
            </c:dLbl>
            <c:dLbl>
              <c:idx val="2"/>
              <c:layout>
                <c:manualLayout>
                  <c:x val="-2.9394473838918283E-2"/>
                  <c:y val="-7.86627335299901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CAB-4CE1-A806-C254AE884386}"/>
                </c:ext>
              </c:extLst>
            </c:dLbl>
            <c:dLbl>
              <c:idx val="3"/>
              <c:layout>
                <c:manualLayout>
                  <c:x val="-3.8212815990593771E-2"/>
                  <c:y val="-5.40806293018682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CAB-4CE1-A806-C254AE8843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Analysis_Pivot_Table!$A$18:$A$22</c:f>
              <c:strCache>
                <c:ptCount val="4"/>
                <c:pt idx="0">
                  <c:v>Jan</c:v>
                </c:pt>
                <c:pt idx="1">
                  <c:v>Feb</c:v>
                </c:pt>
                <c:pt idx="2">
                  <c:v>Mar</c:v>
                </c:pt>
                <c:pt idx="3">
                  <c:v>May</c:v>
                </c:pt>
              </c:strCache>
            </c:strRef>
          </c:cat>
          <c:val>
            <c:numRef>
              <c:f>Analysis_Pivot_Table!$B$18:$B$22</c:f>
              <c:numCache>
                <c:formatCode>General</c:formatCode>
                <c:ptCount val="4"/>
                <c:pt idx="0">
                  <c:v>207950</c:v>
                </c:pt>
                <c:pt idx="1">
                  <c:v>299850</c:v>
                </c:pt>
                <c:pt idx="2">
                  <c:v>21000</c:v>
                </c:pt>
                <c:pt idx="3">
                  <c:v>18000</c:v>
                </c:pt>
              </c:numCache>
            </c:numRef>
          </c:val>
          <c:smooth val="0"/>
          <c:extLst>
            <c:ext xmlns:c16="http://schemas.microsoft.com/office/drawing/2014/chart" uri="{C3380CC4-5D6E-409C-BE32-E72D297353CC}">
              <c16:uniqueId val="{00000000-2CAB-4CE1-A806-C254AE884386}"/>
            </c:ext>
          </c:extLst>
        </c:ser>
        <c:dLbls>
          <c:showLegendKey val="0"/>
          <c:showVal val="0"/>
          <c:showCatName val="0"/>
          <c:showSerName val="0"/>
          <c:showPercent val="0"/>
          <c:showBubbleSize val="0"/>
        </c:dLbls>
        <c:marker val="1"/>
        <c:smooth val="0"/>
        <c:axId val="133091984"/>
        <c:axId val="124372080"/>
      </c:lineChart>
      <c:catAx>
        <c:axId val="13309198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4372080"/>
        <c:crosses val="autoZero"/>
        <c:auto val="1"/>
        <c:lblAlgn val="ctr"/>
        <c:lblOffset val="100"/>
        <c:noMultiLvlLbl val="0"/>
      </c:catAx>
      <c:valAx>
        <c:axId val="12437208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3091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[Sales_Dashboard_Project.xlsx]Analysis_Pivot_Table!PivotTable5</c:name>
    <c:fmtId val="31"/>
  </c:pivotSource>
  <c:chart>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Analysis_Pivot_Table!$B$33</c:f>
              <c:strCache>
                <c:ptCount val="1"/>
                <c:pt idx="0">
                  <c:v>Sum of Units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Analysis_Pivot_Table!$A$34:$A$38</c:f>
              <c:strCache>
                <c:ptCount val="4"/>
                <c:pt idx="0">
                  <c:v>East</c:v>
                </c:pt>
                <c:pt idx="1">
                  <c:v>North</c:v>
                </c:pt>
                <c:pt idx="2">
                  <c:v>South</c:v>
                </c:pt>
                <c:pt idx="3">
                  <c:v>West</c:v>
                </c:pt>
              </c:strCache>
            </c:strRef>
          </c:cat>
          <c:val>
            <c:numRef>
              <c:f>Analysis_Pivot_Table!$B$34:$B$38</c:f>
              <c:numCache>
                <c:formatCode>General</c:formatCode>
                <c:ptCount val="4"/>
                <c:pt idx="0">
                  <c:v>147</c:v>
                </c:pt>
                <c:pt idx="1">
                  <c:v>115</c:v>
                </c:pt>
                <c:pt idx="2">
                  <c:v>119</c:v>
                </c:pt>
                <c:pt idx="3">
                  <c:v>132</c:v>
                </c:pt>
              </c:numCache>
            </c:numRef>
          </c:val>
          <c:extLst>
            <c:ext xmlns:c16="http://schemas.microsoft.com/office/drawing/2014/chart" uri="{C3380CC4-5D6E-409C-BE32-E72D297353CC}">
              <c16:uniqueId val="{00000000-CC29-48DE-A542-5BA552B32566}"/>
            </c:ext>
          </c:extLst>
        </c:ser>
        <c:ser>
          <c:idx val="1"/>
          <c:order val="1"/>
          <c:tx>
            <c:strRef>
              <c:f>Analysis_Pivot_Table!$C$33</c:f>
              <c:strCache>
                <c:ptCount val="1"/>
                <c:pt idx="0">
                  <c:v>Sum of Revenue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Analysis_Pivot_Table!$A$34:$A$38</c:f>
              <c:strCache>
                <c:ptCount val="4"/>
                <c:pt idx="0">
                  <c:v>East</c:v>
                </c:pt>
                <c:pt idx="1">
                  <c:v>North</c:v>
                </c:pt>
                <c:pt idx="2">
                  <c:v>South</c:v>
                </c:pt>
                <c:pt idx="3">
                  <c:v>West</c:v>
                </c:pt>
              </c:strCache>
            </c:strRef>
          </c:cat>
          <c:val>
            <c:numRef>
              <c:f>Analysis_Pivot_Table!$C$34:$C$38</c:f>
              <c:numCache>
                <c:formatCode>General</c:formatCode>
                <c:ptCount val="4"/>
                <c:pt idx="0">
                  <c:v>160700</c:v>
                </c:pt>
                <c:pt idx="1">
                  <c:v>172500</c:v>
                </c:pt>
                <c:pt idx="2">
                  <c:v>127150</c:v>
                </c:pt>
                <c:pt idx="3">
                  <c:v>86450</c:v>
                </c:pt>
              </c:numCache>
            </c:numRef>
          </c:val>
          <c:extLst>
            <c:ext xmlns:c16="http://schemas.microsoft.com/office/drawing/2014/chart" uri="{C3380CC4-5D6E-409C-BE32-E72D297353CC}">
              <c16:uniqueId val="{00000001-CC29-48DE-A542-5BA552B32566}"/>
            </c:ext>
          </c:extLst>
        </c:ser>
        <c:dLbls>
          <c:showLegendKey val="0"/>
          <c:showVal val="0"/>
          <c:showCatName val="0"/>
          <c:showSerName val="0"/>
          <c:showPercent val="0"/>
          <c:showBubbleSize val="0"/>
        </c:dLbls>
        <c:gapWidth val="199"/>
        <c:axId val="133098016"/>
        <c:axId val="124324080"/>
      </c:barChart>
      <c:catAx>
        <c:axId val="13309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24324080"/>
        <c:crosses val="autoZero"/>
        <c:auto val="1"/>
        <c:lblAlgn val="ctr"/>
        <c:lblOffset val="100"/>
        <c:noMultiLvlLbl val="0"/>
      </c:catAx>
      <c:valAx>
        <c:axId val="124324080"/>
        <c:scaling>
          <c:logBase val="10"/>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98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[Sales_Dashboard_Project.xlsx]Analysis_Pivot_Table!PivotTable2</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lumMod val="95000"/>
                    <a:lumOff val="5000"/>
                  </a:schemeClr>
                </a:solidFill>
              </a:rPr>
              <a:t>% Revenue</a:t>
            </a:r>
            <a:r>
              <a:rPr lang="en-US" sz="1600" b="1" baseline="0">
                <a:solidFill>
                  <a:schemeClr val="tx1">
                    <a:lumMod val="95000"/>
                    <a:lumOff val="5000"/>
                  </a:schemeClr>
                </a:solidFill>
              </a:rPr>
              <a:t> by Product Category</a:t>
            </a:r>
            <a:endParaRPr lang="en-US" sz="16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a:sp3d contourW="25400">
            <a:contourClr>
              <a:schemeClr val="lt1"/>
            </a:contourClr>
          </a:sp3d>
        </c:spPr>
        <c:dLbl>
          <c:idx val="0"/>
          <c:layout>
            <c:manualLayout>
              <c:x val="4.9028650210858463E-2"/>
              <c:y val="0.133044304281861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a:sp3d contourW="25400">
            <a:contourClr>
              <a:schemeClr val="lt1"/>
            </a:contourClr>
          </a:sp3d>
        </c:spPr>
        <c:dLbl>
          <c:idx val="0"/>
          <c:layout>
            <c:manualLayout>
              <c:x val="-6.1553717302191162E-2"/>
              <c:y val="-0.165857205242140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a:sp3d contourW="25400">
            <a:contourClr>
              <a:schemeClr val="lt1"/>
            </a:contourClr>
          </a:sp3d>
        </c:spPr>
        <c:dLbl>
          <c:idx val="0"/>
          <c:layout>
            <c:manualLayout>
              <c:x val="-6.1553717302191162E-2"/>
              <c:y val="-0.165857205242140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a:sp3d contourW="25400">
            <a:contourClr>
              <a:schemeClr val="lt1"/>
            </a:contourClr>
          </a:sp3d>
        </c:spPr>
        <c:dLbl>
          <c:idx val="0"/>
          <c:layout>
            <c:manualLayout>
              <c:x val="4.9028650210858463E-2"/>
              <c:y val="0.133044304281861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a:sp3d contourW="25400">
            <a:contourClr>
              <a:schemeClr val="lt1"/>
            </a:contourClr>
          </a:sp3d>
        </c:spPr>
      </c:pivotFmt>
      <c:pivotFmt>
        <c:idx val="7"/>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tint val="65000"/>
            </a:schemeClr>
          </a:solidFill>
          <a:ln w="25400">
            <a:solidFill>
              <a:schemeClr val="lt1"/>
            </a:solidFill>
          </a:ln>
          <a:effectLst/>
          <a:sp3d contourW="25400">
            <a:contourClr>
              <a:schemeClr val="lt1"/>
            </a:contourClr>
          </a:sp3d>
        </c:spPr>
        <c:dLbl>
          <c:idx val="0"/>
          <c:layout>
            <c:manualLayout>
              <c:x val="-6.1553686961969382E-2"/>
              <c:y val="-0.175065254274154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solidFill>
          <a:ln w="25400">
            <a:solidFill>
              <a:schemeClr val="lt1"/>
            </a:solidFill>
          </a:ln>
          <a:effectLst/>
          <a:sp3d contourW="25400">
            <a:contourClr>
              <a:schemeClr val="lt1"/>
            </a:contourClr>
          </a:sp3d>
        </c:spPr>
        <c:dLbl>
          <c:idx val="0"/>
          <c:layout>
            <c:manualLayout>
              <c:x val="2.845257768704838E-2"/>
              <c:y val="-0.193843259233479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6">
              <a:shade val="65000"/>
            </a:schemeClr>
          </a:solidFill>
          <a:ln w="25400">
            <a:solidFill>
              <a:schemeClr val="lt1"/>
            </a:solidFill>
          </a:ln>
          <a:effectLst/>
          <a:sp3d contourW="25400">
            <a:contourClr>
              <a:schemeClr val="lt1"/>
            </a:contourClr>
          </a:sp3d>
        </c:spPr>
        <c:dLbl>
          <c:idx val="0"/>
          <c:layout>
            <c:manualLayout>
              <c:x val="7.5333484548999213E-2"/>
              <c:y val="-4.5786749032061602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Analysis_Pivot_Table!$B$11</c:f>
              <c:strCache>
                <c:ptCount val="1"/>
                <c:pt idx="0">
                  <c:v>Total</c:v>
                </c:pt>
              </c:strCache>
            </c:strRef>
          </c:tx>
          <c:dPt>
            <c:idx val="0"/>
            <c:bubble3D val="0"/>
            <c:spPr>
              <a:solidFill>
                <a:schemeClr val="accent6">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092D-41EF-8A43-B1AB98BECD3B}"/>
              </c:ext>
            </c:extLst>
          </c:dPt>
          <c:dPt>
            <c:idx val="1"/>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3-092D-41EF-8A43-B1AB98BECD3B}"/>
              </c:ext>
            </c:extLst>
          </c:dPt>
          <c:dPt>
            <c:idx val="2"/>
            <c:bubble3D val="0"/>
            <c:spPr>
              <a:solidFill>
                <a:schemeClr val="accent6">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092D-41EF-8A43-B1AB98BECD3B}"/>
              </c:ext>
            </c:extLst>
          </c:dPt>
          <c:dLbls>
            <c:dLbl>
              <c:idx val="0"/>
              <c:layout>
                <c:manualLayout>
                  <c:x val="-6.1553686961969382E-2"/>
                  <c:y val="-0.1750652542741549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92D-41EF-8A43-B1AB98BECD3B}"/>
                </c:ext>
              </c:extLst>
            </c:dLbl>
            <c:dLbl>
              <c:idx val="1"/>
              <c:layout>
                <c:manualLayout>
                  <c:x val="2.845257768704838E-2"/>
                  <c:y val="-0.1938432592334797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92D-41EF-8A43-B1AB98BECD3B}"/>
                </c:ext>
              </c:extLst>
            </c:dLbl>
            <c:dLbl>
              <c:idx val="2"/>
              <c:layout>
                <c:manualLayout>
                  <c:x val="7.5333484548999213E-2"/>
                  <c:y val="-4.5786749032061602E-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92D-41EF-8A43-B1AB98BECD3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Analysis_Pivot_Table!$A$12:$A$15</c:f>
              <c:strCache>
                <c:ptCount val="3"/>
                <c:pt idx="0">
                  <c:v>Electronics</c:v>
                </c:pt>
                <c:pt idx="1">
                  <c:v>Furniture</c:v>
                </c:pt>
                <c:pt idx="2">
                  <c:v>Office Supplies</c:v>
                </c:pt>
              </c:strCache>
            </c:strRef>
          </c:cat>
          <c:val>
            <c:numRef>
              <c:f>Analysis_Pivot_Table!$B$12:$B$15</c:f>
              <c:numCache>
                <c:formatCode>General</c:formatCode>
                <c:ptCount val="3"/>
                <c:pt idx="0">
                  <c:v>283500</c:v>
                </c:pt>
                <c:pt idx="1">
                  <c:v>190500</c:v>
                </c:pt>
                <c:pt idx="2">
                  <c:v>72800</c:v>
                </c:pt>
              </c:numCache>
            </c:numRef>
          </c:val>
          <c:extLst>
            <c:ext xmlns:c16="http://schemas.microsoft.com/office/drawing/2014/chart" uri="{C3380CC4-5D6E-409C-BE32-E72D297353CC}">
              <c16:uniqueId val="{00000006-092D-41EF-8A43-B1AB98BECD3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[Sales_Dashboard_Project.xlsx]Analysis_Pivot_Table!PivotTable4</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tx1">
                    <a:lumMod val="95000"/>
                    <a:lumOff val="5000"/>
                  </a:schemeClr>
                </a:solidFill>
              </a:rPr>
              <a:t>Unit Sold by each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Analysis_Pivot_Table!$B$25</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Analysis_Pivot_Table!$A$26:$A$30</c:f>
              <c:strCache>
                <c:ptCount val="4"/>
                <c:pt idx="0">
                  <c:v>East</c:v>
                </c:pt>
                <c:pt idx="1">
                  <c:v>North</c:v>
                </c:pt>
                <c:pt idx="2">
                  <c:v>South</c:v>
                </c:pt>
                <c:pt idx="3">
                  <c:v>West</c:v>
                </c:pt>
              </c:strCache>
            </c:strRef>
          </c:cat>
          <c:val>
            <c:numRef>
              <c:f>Analysis_Pivot_Table!$B$26:$B$30</c:f>
              <c:numCache>
                <c:formatCode>General</c:formatCode>
                <c:ptCount val="4"/>
                <c:pt idx="0">
                  <c:v>147</c:v>
                </c:pt>
                <c:pt idx="1">
                  <c:v>115</c:v>
                </c:pt>
                <c:pt idx="2">
                  <c:v>119</c:v>
                </c:pt>
                <c:pt idx="3">
                  <c:v>132</c:v>
                </c:pt>
              </c:numCache>
            </c:numRef>
          </c:val>
          <c:extLst>
            <c:ext xmlns:c16="http://schemas.microsoft.com/office/drawing/2014/chart" uri="{C3380CC4-5D6E-409C-BE32-E72D297353CC}">
              <c16:uniqueId val="{00000000-7FC1-44D9-8872-9841940A4087}"/>
            </c:ext>
          </c:extLst>
        </c:ser>
        <c:dLbls>
          <c:showLegendKey val="0"/>
          <c:showVal val="0"/>
          <c:showCatName val="0"/>
          <c:showSerName val="0"/>
          <c:showPercent val="0"/>
          <c:showBubbleSize val="0"/>
        </c:dLbls>
        <c:gapWidth val="150"/>
        <c:shape val="box"/>
        <c:axId val="133049760"/>
        <c:axId val="124352400"/>
        <c:axId val="0"/>
      </c:bar3DChart>
      <c:catAx>
        <c:axId val="13304976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4352400"/>
        <c:crosses val="autoZero"/>
        <c:auto val="1"/>
        <c:lblAlgn val="ctr"/>
        <c:lblOffset val="100"/>
        <c:noMultiLvlLbl val="0"/>
      </c:catAx>
      <c:valAx>
        <c:axId val="12435240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304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4">
  <a:schemeClr val="accent4"/>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1005840</xdr:colOff>
      <xdr:row>2</xdr:row>
      <xdr:rowOff>53340</xdr:rowOff>
    </xdr:from>
    <xdr:to>
      <xdr:col>8</xdr:col>
      <xdr:colOff>495300</xdr:colOff>
      <xdr:row>15</xdr:row>
      <xdr:rowOff>91440</xdr:rowOff>
    </xdr:to>
    <xdr:graphicFrame macro="">
      <xdr:nvGraphicFramePr>
        <xdr:cNvPr id="2" name="Chart 1">
          <a:extLst>
            <a:ext uri="{FF2B5EF4-FFF2-40B4-BE49-F238E27FC236}">
              <a16:creationId xmlns:a16="http://schemas.microsoft.com/office/drawing/2014/main" id="{08886E05-78A5-17D5-8C9C-8523B7827F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xdr:row>
      <xdr:rowOff>106680</xdr:rowOff>
    </xdr:from>
    <xdr:to>
      <xdr:col>14</xdr:col>
      <xdr:colOff>251460</xdr:colOff>
      <xdr:row>15</xdr:row>
      <xdr:rowOff>7620</xdr:rowOff>
    </xdr:to>
    <xdr:graphicFrame macro="">
      <xdr:nvGraphicFramePr>
        <xdr:cNvPr id="3" name="Chart 2">
          <a:extLst>
            <a:ext uri="{FF2B5EF4-FFF2-40B4-BE49-F238E27FC236}">
              <a16:creationId xmlns:a16="http://schemas.microsoft.com/office/drawing/2014/main" id="{9DAA58E0-F6D0-CE3E-4B03-FDEE566DE4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16</xdr:row>
      <xdr:rowOff>144780</xdr:rowOff>
    </xdr:from>
    <xdr:to>
      <xdr:col>8</xdr:col>
      <xdr:colOff>220980</xdr:colOff>
      <xdr:row>28</xdr:row>
      <xdr:rowOff>160020</xdr:rowOff>
    </xdr:to>
    <xdr:graphicFrame macro="">
      <xdr:nvGraphicFramePr>
        <xdr:cNvPr id="4" name="Chart 3">
          <a:extLst>
            <a:ext uri="{FF2B5EF4-FFF2-40B4-BE49-F238E27FC236}">
              <a16:creationId xmlns:a16="http://schemas.microsoft.com/office/drawing/2014/main" id="{D6A991CA-8B5A-94CE-BDEA-13DE0E3C61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594360</xdr:colOff>
      <xdr:row>16</xdr:row>
      <xdr:rowOff>148590</xdr:rowOff>
    </xdr:from>
    <xdr:to>
      <xdr:col>14</xdr:col>
      <xdr:colOff>411480</xdr:colOff>
      <xdr:row>28</xdr:row>
      <xdr:rowOff>137160</xdr:rowOff>
    </xdr:to>
    <xdr:graphicFrame macro="">
      <xdr:nvGraphicFramePr>
        <xdr:cNvPr id="5" name="Chart 4">
          <a:extLst>
            <a:ext uri="{FF2B5EF4-FFF2-40B4-BE49-F238E27FC236}">
              <a16:creationId xmlns:a16="http://schemas.microsoft.com/office/drawing/2014/main" id="{587D7946-09CC-99EF-B56D-2731C8F495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198120</xdr:colOff>
      <xdr:row>30</xdr:row>
      <xdr:rowOff>30480</xdr:rowOff>
    </xdr:from>
    <xdr:to>
      <xdr:col>15</xdr:col>
      <xdr:colOff>472440</xdr:colOff>
      <xdr:row>42</xdr:row>
      <xdr:rowOff>57150</xdr:rowOff>
    </xdr:to>
    <xdr:graphicFrame macro="">
      <xdr:nvGraphicFramePr>
        <xdr:cNvPr id="6" name="Chart 5">
          <a:extLst>
            <a:ext uri="{FF2B5EF4-FFF2-40B4-BE49-F238E27FC236}">
              <a16:creationId xmlns:a16="http://schemas.microsoft.com/office/drawing/2014/main" id="{028B974F-00D3-E933-BAE0-249E8EECD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236220</xdr:colOff>
      <xdr:row>30</xdr:row>
      <xdr:rowOff>3810</xdr:rowOff>
    </xdr:from>
    <xdr:to>
      <xdr:col>10</xdr:col>
      <xdr:colOff>541020</xdr:colOff>
      <xdr:row>45</xdr:row>
      <xdr:rowOff>3810</xdr:rowOff>
    </xdr:to>
    <xdr:graphicFrame macro="">
      <xdr:nvGraphicFramePr>
        <xdr:cNvPr id="8" name="Chart 7">
          <a:extLst>
            <a:ext uri="{FF2B5EF4-FFF2-40B4-BE49-F238E27FC236}">
              <a16:creationId xmlns:a16="http://schemas.microsoft.com/office/drawing/2014/main" id="{5AB6E74F-469E-63A6-01A2-A95241B7F5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426720</xdr:colOff>
      <xdr:row>9</xdr:row>
      <xdr:rowOff>137161</xdr:rowOff>
    </xdr:from>
    <xdr:to>
      <xdr:col>17</xdr:col>
      <xdr:colOff>426720</xdr:colOff>
      <xdr:row>17</xdr:row>
      <xdr:rowOff>83821</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B6B46ACF-453B-36BC-E0F8-30ACF8529D8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822180" y="1783081"/>
              <a:ext cx="182880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403860</xdr:colOff>
      <xdr:row>2</xdr:row>
      <xdr:rowOff>91441</xdr:rowOff>
    </xdr:from>
    <xdr:to>
      <xdr:col>17</xdr:col>
      <xdr:colOff>403860</xdr:colOff>
      <xdr:row>9</xdr:row>
      <xdr:rowOff>68581</xdr:rowOff>
    </xdr:to>
    <mc:AlternateContent xmlns:mc="http://schemas.openxmlformats.org/markup-compatibility/2006" xmlns:a14="http://schemas.microsoft.com/office/drawing/2010/main">
      <mc:Choice Requires="a14">
        <xdr:graphicFrame macro="">
          <xdr:nvGraphicFramePr>
            <xdr:cNvPr id="10" name="Product Category">
              <a:extLst>
                <a:ext uri="{FF2B5EF4-FFF2-40B4-BE49-F238E27FC236}">
                  <a16:creationId xmlns:a16="http://schemas.microsoft.com/office/drawing/2014/main" id="{BD973966-A69D-69DB-F95A-B2816A000508}"/>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9799320" y="457201"/>
              <a:ext cx="18288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61739</xdr:colOff>
      <xdr:row>3</xdr:row>
      <xdr:rowOff>15551</xdr:rowOff>
    </xdr:from>
    <xdr:to>
      <xdr:col>0</xdr:col>
      <xdr:colOff>4260981</xdr:colOff>
      <xdr:row>17</xdr:row>
      <xdr:rowOff>139959</xdr:rowOff>
    </xdr:to>
    <xdr:graphicFrame macro="">
      <xdr:nvGraphicFramePr>
        <xdr:cNvPr id="2" name="Chart 1">
          <a:extLst>
            <a:ext uri="{FF2B5EF4-FFF2-40B4-BE49-F238E27FC236}">
              <a16:creationId xmlns:a16="http://schemas.microsoft.com/office/drawing/2014/main" id="{EBE728C7-8237-48C1-BC6F-E7A033D4D3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505409</xdr:colOff>
      <xdr:row>3</xdr:row>
      <xdr:rowOff>7776</xdr:rowOff>
    </xdr:from>
    <xdr:to>
      <xdr:col>9</xdr:col>
      <xdr:colOff>500899</xdr:colOff>
      <xdr:row>17</xdr:row>
      <xdr:rowOff>147735</xdr:rowOff>
    </xdr:to>
    <xdr:graphicFrame macro="">
      <xdr:nvGraphicFramePr>
        <xdr:cNvPr id="3" name="Chart 2">
          <a:extLst>
            <a:ext uri="{FF2B5EF4-FFF2-40B4-BE49-F238E27FC236}">
              <a16:creationId xmlns:a16="http://schemas.microsoft.com/office/drawing/2014/main" id="{283454B4-803F-4083-9325-98F2567A8C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496956</xdr:colOff>
      <xdr:row>17</xdr:row>
      <xdr:rowOff>109364</xdr:rowOff>
    </xdr:from>
    <xdr:to>
      <xdr:col>18</xdr:col>
      <xdr:colOff>8283</xdr:colOff>
      <xdr:row>33</xdr:row>
      <xdr:rowOff>8283</xdr:rowOff>
    </xdr:to>
    <xdr:graphicFrame macro="">
      <xdr:nvGraphicFramePr>
        <xdr:cNvPr id="4" name="Chart 3">
          <a:extLst>
            <a:ext uri="{FF2B5EF4-FFF2-40B4-BE49-F238E27FC236}">
              <a16:creationId xmlns:a16="http://schemas.microsoft.com/office/drawing/2014/main" id="{F3594B5B-F750-424C-95F8-58743596D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46186</xdr:colOff>
      <xdr:row>17</xdr:row>
      <xdr:rowOff>147735</xdr:rowOff>
    </xdr:from>
    <xdr:to>
      <xdr:col>2</xdr:col>
      <xdr:colOff>82826</xdr:colOff>
      <xdr:row>32</xdr:row>
      <xdr:rowOff>165652</xdr:rowOff>
    </xdr:to>
    <xdr:graphicFrame macro="">
      <xdr:nvGraphicFramePr>
        <xdr:cNvPr id="5" name="Chart 4">
          <a:extLst>
            <a:ext uri="{FF2B5EF4-FFF2-40B4-BE49-F238E27FC236}">
              <a16:creationId xmlns:a16="http://schemas.microsoft.com/office/drawing/2014/main" id="{7C3CDEFD-9C27-48AD-ADCC-0FBE6D4D09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284894</xdr:colOff>
      <xdr:row>3</xdr:row>
      <xdr:rowOff>38878</xdr:rowOff>
    </xdr:from>
    <xdr:to>
      <xdr:col>18</xdr:col>
      <xdr:colOff>16565</xdr:colOff>
      <xdr:row>17</xdr:row>
      <xdr:rowOff>107674</xdr:rowOff>
    </xdr:to>
    <xdr:graphicFrame macro="">
      <xdr:nvGraphicFramePr>
        <xdr:cNvPr id="6" name="Chart 5">
          <a:extLst>
            <a:ext uri="{FF2B5EF4-FFF2-40B4-BE49-F238E27FC236}">
              <a16:creationId xmlns:a16="http://schemas.microsoft.com/office/drawing/2014/main" id="{AD530CB7-0070-4E74-866A-1C6EC436D2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85010</xdr:colOff>
      <xdr:row>17</xdr:row>
      <xdr:rowOff>125269</xdr:rowOff>
    </xdr:from>
    <xdr:to>
      <xdr:col>9</xdr:col>
      <xdr:colOff>513523</xdr:colOff>
      <xdr:row>33</xdr:row>
      <xdr:rowOff>0</xdr:rowOff>
    </xdr:to>
    <xdr:graphicFrame macro="">
      <xdr:nvGraphicFramePr>
        <xdr:cNvPr id="7" name="Chart 6">
          <a:extLst>
            <a:ext uri="{FF2B5EF4-FFF2-40B4-BE49-F238E27FC236}">
              <a16:creationId xmlns:a16="http://schemas.microsoft.com/office/drawing/2014/main" id="{29468C47-2951-41E8-AC71-205110BC9E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4283994</xdr:colOff>
      <xdr:row>9</xdr:row>
      <xdr:rowOff>52407</xdr:rowOff>
    </xdr:from>
    <xdr:to>
      <xdr:col>2</xdr:col>
      <xdr:colOff>520959</xdr:colOff>
      <xdr:row>17</xdr:row>
      <xdr:rowOff>132184</xdr:rowOff>
    </xdr:to>
    <mc:AlternateContent xmlns:mc="http://schemas.openxmlformats.org/markup-compatibility/2006">
      <mc:Choice xmlns:a14="http://schemas.microsoft.com/office/drawing/2010/main" Requires="a14">
        <xdr:graphicFrame macro="">
          <xdr:nvGraphicFramePr>
            <xdr:cNvPr id="8" name="Region 1">
              <a:extLst>
                <a:ext uri="{FF2B5EF4-FFF2-40B4-BE49-F238E27FC236}">
                  <a16:creationId xmlns:a16="http://schemas.microsoft.com/office/drawing/2014/main" id="{ED2D29C1-8BB5-4FAF-AFFA-B33F103A40E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4283994" y="1813474"/>
              <a:ext cx="1308498" cy="15699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4272784</xdr:colOff>
      <xdr:row>3</xdr:row>
      <xdr:rowOff>33578</xdr:rowOff>
    </xdr:from>
    <xdr:to>
      <xdr:col>2</xdr:col>
      <xdr:colOff>505408</xdr:colOff>
      <xdr:row>9</xdr:row>
      <xdr:rowOff>69979</xdr:rowOff>
    </xdr:to>
    <mc:AlternateContent xmlns:mc="http://schemas.openxmlformats.org/markup-compatibility/2006">
      <mc:Choice xmlns:a14="http://schemas.microsoft.com/office/drawing/2010/main" Requires="a14">
        <xdr:graphicFrame macro="">
          <xdr:nvGraphicFramePr>
            <xdr:cNvPr id="9" name="Product Category 1">
              <a:extLst>
                <a:ext uri="{FF2B5EF4-FFF2-40B4-BE49-F238E27FC236}">
                  <a16:creationId xmlns:a16="http://schemas.microsoft.com/office/drawing/2014/main" id="{CC167F84-6377-489B-AC2A-CB63F2C6719B}"/>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4272784" y="677045"/>
              <a:ext cx="1304157" cy="1154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38877</xdr:colOff>
      <xdr:row>0</xdr:row>
      <xdr:rowOff>46654</xdr:rowOff>
    </xdr:from>
    <xdr:to>
      <xdr:col>18</xdr:col>
      <xdr:colOff>24847</xdr:colOff>
      <xdr:row>37</xdr:row>
      <xdr:rowOff>1</xdr:rowOff>
    </xdr:to>
    <xdr:sp macro="" textlink="">
      <xdr:nvSpPr>
        <xdr:cNvPr id="10" name="Rectangle 9">
          <a:extLst>
            <a:ext uri="{FF2B5EF4-FFF2-40B4-BE49-F238E27FC236}">
              <a16:creationId xmlns:a16="http://schemas.microsoft.com/office/drawing/2014/main" id="{038088BB-7121-0DC9-A26A-D5215046D724}"/>
            </a:ext>
          </a:extLst>
        </xdr:cNvPr>
        <xdr:cNvSpPr/>
      </xdr:nvSpPr>
      <xdr:spPr>
        <a:xfrm>
          <a:off x="38877" y="46654"/>
          <a:ext cx="14861535" cy="6827912"/>
        </a:xfrm>
        <a:prstGeom prst="rect">
          <a:avLst/>
        </a:prstGeom>
        <a:noFill/>
        <a:ln w="9525" cap="flat" cmpd="sng" algn="ctr">
          <a:solidFill>
            <a:schemeClr val="dk1"/>
          </a:solidFill>
          <a:prstDash val="solid"/>
          <a:round/>
          <a:headEnd type="none" w="med" len="med"/>
          <a:tailEnd type="none" w="med" len="med"/>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54428</xdr:colOff>
      <xdr:row>0</xdr:row>
      <xdr:rowOff>38878</xdr:rowOff>
    </xdr:from>
    <xdr:to>
      <xdr:col>18</xdr:col>
      <xdr:colOff>16565</xdr:colOff>
      <xdr:row>3</xdr:row>
      <xdr:rowOff>23326</xdr:rowOff>
    </xdr:to>
    <xdr:sp macro="" textlink="">
      <xdr:nvSpPr>
        <xdr:cNvPr id="11" name="Rectangle 10">
          <a:extLst>
            <a:ext uri="{FF2B5EF4-FFF2-40B4-BE49-F238E27FC236}">
              <a16:creationId xmlns:a16="http://schemas.microsoft.com/office/drawing/2014/main" id="{3C62C54B-3826-B21C-37C3-715B07FA5558}"/>
            </a:ext>
          </a:extLst>
        </xdr:cNvPr>
        <xdr:cNvSpPr/>
      </xdr:nvSpPr>
      <xdr:spPr>
        <a:xfrm>
          <a:off x="54428" y="38878"/>
          <a:ext cx="14837702" cy="613926"/>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IN" sz="3200" b="1">
              <a:solidFill>
                <a:schemeClr val="bg1"/>
              </a:solidFill>
            </a:rPr>
            <a:t>Sales Dashboard</a:t>
          </a:r>
        </a:p>
      </xdr:txBody>
    </xdr:sp>
    <xdr:clientData/>
  </xdr:twoCellAnchor>
  <xdr:twoCellAnchor>
    <xdr:from>
      <xdr:col>9</xdr:col>
      <xdr:colOff>497632</xdr:colOff>
      <xdr:row>3</xdr:row>
      <xdr:rowOff>38878</xdr:rowOff>
    </xdr:from>
    <xdr:to>
      <xdr:col>12</xdr:col>
      <xdr:colOff>295469</xdr:colOff>
      <xdr:row>8</xdr:row>
      <xdr:rowOff>0</xdr:rowOff>
    </xdr:to>
    <xdr:sp macro="" textlink="">
      <xdr:nvSpPr>
        <xdr:cNvPr id="12" name="Rectangle 11">
          <a:extLst>
            <a:ext uri="{FF2B5EF4-FFF2-40B4-BE49-F238E27FC236}">
              <a16:creationId xmlns:a16="http://schemas.microsoft.com/office/drawing/2014/main" id="{D689AD87-0117-F19E-85E9-DCBB83CD8B54}"/>
            </a:ext>
          </a:extLst>
        </xdr:cNvPr>
        <xdr:cNvSpPr/>
      </xdr:nvSpPr>
      <xdr:spPr>
        <a:xfrm>
          <a:off x="9804918" y="676470"/>
          <a:ext cx="1617306" cy="894183"/>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IN" sz="1400" b="1" baseline="0"/>
            <a:t>TOTAL PRODUCT CATEGORY</a:t>
          </a:r>
        </a:p>
        <a:p>
          <a:pPr algn="ctr"/>
          <a:r>
            <a:rPr lang="en-IN" sz="1400" b="1" baseline="0"/>
            <a:t>3</a:t>
          </a:r>
        </a:p>
      </xdr:txBody>
    </xdr:sp>
    <xdr:clientData/>
  </xdr:twoCellAnchor>
  <xdr:twoCellAnchor>
    <xdr:from>
      <xdr:col>9</xdr:col>
      <xdr:colOff>500017</xdr:colOff>
      <xdr:row>7</xdr:row>
      <xdr:rowOff>157480</xdr:rowOff>
    </xdr:from>
    <xdr:to>
      <xdr:col>12</xdr:col>
      <xdr:colOff>297854</xdr:colOff>
      <xdr:row>12</xdr:row>
      <xdr:rowOff>106784</xdr:rowOff>
    </xdr:to>
    <xdr:sp macro="" textlink="">
      <xdr:nvSpPr>
        <xdr:cNvPr id="13" name="Rectangle 12">
          <a:extLst>
            <a:ext uri="{FF2B5EF4-FFF2-40B4-BE49-F238E27FC236}">
              <a16:creationId xmlns:a16="http://schemas.microsoft.com/office/drawing/2014/main" id="{BDB32E50-E766-4177-ABF3-33391B42D070}"/>
            </a:ext>
          </a:extLst>
        </xdr:cNvPr>
        <xdr:cNvSpPr/>
      </xdr:nvSpPr>
      <xdr:spPr>
        <a:xfrm>
          <a:off x="9837057" y="1524000"/>
          <a:ext cx="1626637" cy="863704"/>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495663</xdr:colOff>
      <xdr:row>12</xdr:row>
      <xdr:rowOff>102534</xdr:rowOff>
    </xdr:from>
    <xdr:to>
      <xdr:col>12</xdr:col>
      <xdr:colOff>293500</xdr:colOff>
      <xdr:row>17</xdr:row>
      <xdr:rowOff>107675</xdr:rowOff>
    </xdr:to>
    <xdr:sp macro="" textlink="">
      <xdr:nvSpPr>
        <xdr:cNvPr id="14" name="Rectangle 13">
          <a:extLst>
            <a:ext uri="{FF2B5EF4-FFF2-40B4-BE49-F238E27FC236}">
              <a16:creationId xmlns:a16="http://schemas.microsoft.com/office/drawing/2014/main" id="{9F7FD4A6-4F39-48A1-A3D7-F850ED148093}"/>
            </a:ext>
          </a:extLst>
        </xdr:cNvPr>
        <xdr:cNvSpPr/>
      </xdr:nvSpPr>
      <xdr:spPr>
        <a:xfrm>
          <a:off x="9855011" y="2371969"/>
          <a:ext cx="1636576" cy="916228"/>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9</xdr:col>
      <xdr:colOff>577101</xdr:colOff>
      <xdr:row>8</xdr:row>
      <xdr:rowOff>140805</xdr:rowOff>
    </xdr:from>
    <xdr:to>
      <xdr:col>12</xdr:col>
      <xdr:colOff>225915</xdr:colOff>
      <xdr:row>12</xdr:row>
      <xdr:rowOff>9395</xdr:rowOff>
    </xdr:to>
    <xdr:pic>
      <xdr:nvPicPr>
        <xdr:cNvPr id="15" name="Picture 14">
          <a:extLst>
            <a:ext uri="{FF2B5EF4-FFF2-40B4-BE49-F238E27FC236}">
              <a16:creationId xmlns:a16="http://schemas.microsoft.com/office/drawing/2014/main" id="{4F7AFCF2-53D2-626E-933B-7D6EDAA0892E}"/>
            </a:ext>
          </a:extLst>
        </xdr:cNvPr>
        <xdr:cNvPicPr>
          <a:picLocks noChangeAspect="1"/>
        </xdr:cNvPicPr>
      </xdr:nvPicPr>
      <xdr:blipFill>
        <a:blip xmlns:r="http://schemas.openxmlformats.org/officeDocument/2006/relationships" r:embed="rId7"/>
        <a:stretch>
          <a:fillRect/>
        </a:stretch>
      </xdr:blipFill>
      <xdr:spPr>
        <a:xfrm>
          <a:off x="9936449" y="1681370"/>
          <a:ext cx="1487553" cy="597460"/>
        </a:xfrm>
        <a:prstGeom prst="rect">
          <a:avLst/>
        </a:prstGeom>
      </xdr:spPr>
    </xdr:pic>
    <xdr:clientData/>
  </xdr:twoCellAnchor>
  <xdr:twoCellAnchor editAs="oneCell">
    <xdr:from>
      <xdr:col>9</xdr:col>
      <xdr:colOff>572747</xdr:colOff>
      <xdr:row>13</xdr:row>
      <xdr:rowOff>130584</xdr:rowOff>
    </xdr:from>
    <xdr:to>
      <xdr:col>12</xdr:col>
      <xdr:colOff>282526</xdr:colOff>
      <xdr:row>16</xdr:row>
      <xdr:rowOff>181392</xdr:rowOff>
    </xdr:to>
    <xdr:pic>
      <xdr:nvPicPr>
        <xdr:cNvPr id="18" name="Picture 17">
          <a:extLst>
            <a:ext uri="{FF2B5EF4-FFF2-40B4-BE49-F238E27FC236}">
              <a16:creationId xmlns:a16="http://schemas.microsoft.com/office/drawing/2014/main" id="{86611E77-5A2A-1C10-493C-38C4CECBBCE6}"/>
            </a:ext>
          </a:extLst>
        </xdr:cNvPr>
        <xdr:cNvPicPr>
          <a:picLocks noChangeAspect="1"/>
        </xdr:cNvPicPr>
      </xdr:nvPicPr>
      <xdr:blipFill>
        <a:blip xmlns:r="http://schemas.openxmlformats.org/officeDocument/2006/relationships" r:embed="rId8"/>
        <a:stretch>
          <a:fillRect/>
        </a:stretch>
      </xdr:blipFill>
      <xdr:spPr>
        <a:xfrm>
          <a:off x="9932095" y="2582236"/>
          <a:ext cx="1548518" cy="597460"/>
        </a:xfrm>
        <a:prstGeom prst="rect">
          <a:avLst/>
        </a:prstGeom>
      </xdr:spPr>
    </xdr:pic>
    <xdr:clientData/>
  </xdr:twoCellAnchor>
  <xdr:twoCellAnchor>
    <xdr:from>
      <xdr:col>0</xdr:col>
      <xdr:colOff>41412</xdr:colOff>
      <xdr:row>33</xdr:row>
      <xdr:rowOff>24849</xdr:rowOff>
    </xdr:from>
    <xdr:to>
      <xdr:col>18</xdr:col>
      <xdr:colOff>8282</xdr:colOff>
      <xdr:row>33</xdr:row>
      <xdr:rowOff>223631</xdr:rowOff>
    </xdr:to>
    <xdr:sp macro="" textlink="">
      <xdr:nvSpPr>
        <xdr:cNvPr id="19" name="Rectangle 18">
          <a:extLst>
            <a:ext uri="{FF2B5EF4-FFF2-40B4-BE49-F238E27FC236}">
              <a16:creationId xmlns:a16="http://schemas.microsoft.com/office/drawing/2014/main" id="{6E24C75E-19CA-57D6-EDE9-73B44811D94D}"/>
            </a:ext>
          </a:extLst>
        </xdr:cNvPr>
        <xdr:cNvSpPr/>
      </xdr:nvSpPr>
      <xdr:spPr>
        <a:xfrm>
          <a:off x="41412" y="6120849"/>
          <a:ext cx="14842435" cy="198782"/>
        </a:xfrm>
        <a:prstGeom prst="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ctr"/>
        <a:lstStyle/>
        <a:p>
          <a:pPr algn="ctr"/>
          <a:r>
            <a:rPr lang="en-IN" sz="1200" b="1"/>
            <a:t>BUSINESS INSIGHTS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65.870952662037" createdVersion="8" refreshedVersion="8" minRefreshableVersion="3" recordCount="34" xr:uid="{4B9F03D2-3F99-425B-9EA2-F50D38CFE152}">
  <cacheSource type="worksheet">
    <worksheetSource name="Clean\_Sales\_Data"/>
  </cacheSource>
  <cacheFields count="9">
    <cacheField name="Order ID" numFmtId="0">
      <sharedItems containsSemiMixedTypes="0" containsString="0" containsNumber="1" containsInteger="1" minValue="1001" maxValue="1034"/>
    </cacheField>
    <cacheField name="Date" numFmtId="14">
      <sharedItems containsSemiMixedTypes="0" containsNonDate="0" containsDate="1" containsString="0" minDate="2025-01-07T00:00:00" maxDate="2025-05-02T00:00:00" count="34">
        <d v="2025-05-01T00:00:00"/>
        <d v="2025-01-07T00:00:00"/>
        <d v="2025-01-09T00:00:00"/>
        <d v="2025-01-10T00:00:00"/>
        <d v="2025-01-12T00:00:00"/>
        <d v="2025-01-13T00:00:00"/>
        <d v="2025-01-15T00:00:00"/>
        <d v="2025-01-17T00:00:00"/>
        <d v="2025-01-18T00:00:00"/>
        <d v="2025-01-20T00:00:00"/>
        <d v="2025-01-22T00:00:00"/>
        <d v="2025-01-23T00:00:00"/>
        <d v="2025-01-25T00:00:00"/>
        <d v="2025-01-27T00:00:00"/>
        <d v="2025-01-28T00:00:00"/>
        <d v="2025-01-30T00:00:00"/>
        <d v="2025-02-02T00:00:00"/>
        <d v="2025-02-04T00:00:00"/>
        <d v="2025-02-06T00:00:00"/>
        <d v="2025-02-07T00:00:00"/>
        <d v="2025-02-09T00:00:00"/>
        <d v="2025-02-10T00:00:00"/>
        <d v="2025-02-12T00:00:00"/>
        <d v="2025-02-14T00:00:00"/>
        <d v="2025-02-15T00:00:00"/>
        <d v="2025-02-16T00:00:00"/>
        <d v="2025-02-18T00:00:00"/>
        <d v="2025-02-20T00:00:00"/>
        <d v="2025-02-22T00:00:00"/>
        <d v="2025-02-23T00:00:00"/>
        <d v="2025-02-25T00:00:00"/>
        <d v="2025-02-27T00:00:00"/>
        <d v="2025-02-28T00:00:00"/>
        <d v="2025-03-02T00:00:00"/>
      </sharedItems>
      <fieldGroup par="8"/>
    </cacheField>
    <cacheField name="Region" numFmtId="0">
      <sharedItems count="4">
        <s v="North"/>
        <s v="South"/>
        <s v="West"/>
        <s v="East"/>
      </sharedItems>
    </cacheField>
    <cacheField name="Salesperson" numFmtId="0">
      <sharedItems/>
    </cacheField>
    <cacheField name="Product Category" numFmtId="0">
      <sharedItems count="3">
        <s v="Electronics"/>
        <s v="Furniture"/>
        <s v="Office Supplies"/>
      </sharedItems>
    </cacheField>
    <cacheField name="Units" numFmtId="0">
      <sharedItems containsSemiMixedTypes="0" containsString="0" containsNumber="1" containsInteger="1" minValue="0" maxValue="32" count="22">
        <n v="12"/>
        <n v="8"/>
        <n v="15"/>
        <n v="10"/>
        <n v="25"/>
        <n v="20"/>
        <n v="18"/>
        <n v="7"/>
        <n v="9"/>
        <n v="14"/>
        <n v="0"/>
        <n v="6"/>
        <n v="30"/>
        <n v="22"/>
        <n v="16"/>
        <n v="13"/>
        <n v="28"/>
        <n v="24"/>
        <n v="17"/>
        <n v="11"/>
        <n v="32"/>
        <n v="27"/>
      </sharedItems>
    </cacheField>
    <cacheField name="Revenue" numFmtId="0">
      <sharedItems containsSemiMixedTypes="0" containsString="0" containsNumber="1" containsInteger="1" minValue="7000" maxValue="30000" count="21">
        <n v="18000"/>
        <n v="12000"/>
        <n v="22500"/>
        <n v="15000"/>
        <n v="8750"/>
        <n v="7000"/>
        <n v="27000"/>
        <n v="10500"/>
        <n v="13500"/>
        <n v="21000"/>
        <n v="16500"/>
        <n v="9000"/>
        <n v="7700"/>
        <n v="24000"/>
        <n v="19500"/>
        <n v="9800"/>
        <n v="8400"/>
        <n v="30000"/>
        <n v="25500"/>
        <n v="11200"/>
        <n v="9450"/>
      </sharedItems>
    </cacheField>
    <cacheField name="Days (Date)" numFmtId="0" databaseField="0">
      <fieldGroup base="1">
        <rangePr groupBy="days" startDate="2025-01-07T00:00:00" endDate="2025-05-02T00:00:00"/>
        <groupItems count="368">
          <s v="&lt;07-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5-2025"/>
        </groupItems>
      </fieldGroup>
    </cacheField>
    <cacheField name="Months (Date)" numFmtId="0" databaseField="0">
      <fieldGroup base="1">
        <rangePr groupBy="months" startDate="2025-01-07T00:00:00" endDate="2025-05-02T00:00:00"/>
        <groupItems count="14">
          <s v="&lt;07-01-2025"/>
          <s v="Jan"/>
          <s v="Feb"/>
          <s v="Mar"/>
          <s v="Apr"/>
          <s v="May"/>
          <s v="Jun"/>
          <s v="Jul"/>
          <s v="Aug"/>
          <s v="Sep"/>
          <s v="Oct"/>
          <s v="Nov"/>
          <s v="Dec"/>
          <s v="&gt;02-05-2025"/>
        </groupItems>
      </fieldGroup>
    </cacheField>
  </cacheFields>
  <extLst>
    <ext xmlns:x14="http://schemas.microsoft.com/office/spreadsheetml/2009/9/main" uri="{725AE2AE-9491-48be-B2B4-4EB974FC3084}">
      <x14:pivotCacheDefinition pivotCacheId="13032860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n v="1001"/>
    <x v="0"/>
    <x v="0"/>
    <s v="Amit"/>
    <x v="0"/>
    <x v="0"/>
    <x v="0"/>
  </r>
  <r>
    <n v="1002"/>
    <x v="1"/>
    <x v="0"/>
    <s v="Priya"/>
    <x v="0"/>
    <x v="1"/>
    <x v="1"/>
  </r>
  <r>
    <n v="1003"/>
    <x v="2"/>
    <x v="1"/>
    <s v="Rahul"/>
    <x v="1"/>
    <x v="2"/>
    <x v="2"/>
  </r>
  <r>
    <n v="1004"/>
    <x v="3"/>
    <x v="1"/>
    <s v="Neha"/>
    <x v="1"/>
    <x v="3"/>
    <x v="3"/>
  </r>
  <r>
    <n v="1005"/>
    <x v="4"/>
    <x v="2"/>
    <s v="Karan"/>
    <x v="2"/>
    <x v="4"/>
    <x v="4"/>
  </r>
  <r>
    <n v="1006"/>
    <x v="5"/>
    <x v="2"/>
    <s v="Karan"/>
    <x v="2"/>
    <x v="5"/>
    <x v="5"/>
  </r>
  <r>
    <n v="1007"/>
    <x v="6"/>
    <x v="3"/>
    <s v="Sneha"/>
    <x v="0"/>
    <x v="6"/>
    <x v="6"/>
  </r>
  <r>
    <n v="1008"/>
    <x v="7"/>
    <x v="3"/>
    <s v="Sneha"/>
    <x v="0"/>
    <x v="3"/>
    <x v="3"/>
  </r>
  <r>
    <n v="1009"/>
    <x v="8"/>
    <x v="0"/>
    <s v="Amit"/>
    <x v="1"/>
    <x v="7"/>
    <x v="7"/>
  </r>
  <r>
    <n v="1010"/>
    <x v="9"/>
    <x v="0"/>
    <s v="Amit"/>
    <x v="1"/>
    <x v="8"/>
    <x v="8"/>
  </r>
  <r>
    <n v="1011"/>
    <x v="10"/>
    <x v="1"/>
    <s v="Rahul"/>
    <x v="0"/>
    <x v="9"/>
    <x v="9"/>
  </r>
  <r>
    <n v="1012"/>
    <x v="11"/>
    <x v="1"/>
    <s v="Rahul"/>
    <x v="0"/>
    <x v="10"/>
    <x v="10"/>
  </r>
  <r>
    <n v="1013"/>
    <x v="12"/>
    <x v="2"/>
    <s v="Karan"/>
    <x v="1"/>
    <x v="11"/>
    <x v="11"/>
  </r>
  <r>
    <n v="1014"/>
    <x v="13"/>
    <x v="2"/>
    <s v="Karan"/>
    <x v="1"/>
    <x v="1"/>
    <x v="1"/>
  </r>
  <r>
    <n v="1015"/>
    <x v="14"/>
    <x v="3"/>
    <s v="Sneha"/>
    <x v="2"/>
    <x v="12"/>
    <x v="7"/>
  </r>
  <r>
    <n v="1016"/>
    <x v="15"/>
    <x v="3"/>
    <s v="Sneha"/>
    <x v="2"/>
    <x v="13"/>
    <x v="12"/>
  </r>
  <r>
    <n v="1017"/>
    <x v="16"/>
    <x v="0"/>
    <s v="Amit"/>
    <x v="0"/>
    <x v="14"/>
    <x v="13"/>
  </r>
  <r>
    <n v="1018"/>
    <x v="17"/>
    <x v="0"/>
    <s v="Amit"/>
    <x v="0"/>
    <x v="15"/>
    <x v="14"/>
  </r>
  <r>
    <n v="1019"/>
    <x v="18"/>
    <x v="1"/>
    <s v="Rahul"/>
    <x v="1"/>
    <x v="0"/>
    <x v="0"/>
  </r>
  <r>
    <n v="1020"/>
    <x v="19"/>
    <x v="1"/>
    <s v="Rahul"/>
    <x v="1"/>
    <x v="8"/>
    <x v="8"/>
  </r>
  <r>
    <n v="1021"/>
    <x v="20"/>
    <x v="2"/>
    <s v="Karan"/>
    <x v="2"/>
    <x v="16"/>
    <x v="15"/>
  </r>
  <r>
    <n v="1022"/>
    <x v="21"/>
    <x v="2"/>
    <s v="Karan"/>
    <x v="2"/>
    <x v="17"/>
    <x v="16"/>
  </r>
  <r>
    <n v="1023"/>
    <x v="22"/>
    <x v="3"/>
    <s v="Sneha"/>
    <x v="0"/>
    <x v="5"/>
    <x v="17"/>
  </r>
  <r>
    <n v="1024"/>
    <x v="23"/>
    <x v="3"/>
    <s v="Sneha"/>
    <x v="0"/>
    <x v="18"/>
    <x v="18"/>
  </r>
  <r>
    <n v="1025"/>
    <x v="24"/>
    <x v="0"/>
    <s v="Amit"/>
    <x v="1"/>
    <x v="19"/>
    <x v="10"/>
  </r>
  <r>
    <n v="1026"/>
    <x v="25"/>
    <x v="0"/>
    <s v="Amit"/>
    <x v="1"/>
    <x v="3"/>
    <x v="3"/>
  </r>
  <r>
    <n v="1027"/>
    <x v="26"/>
    <x v="1"/>
    <s v="Rahul"/>
    <x v="2"/>
    <x v="20"/>
    <x v="19"/>
  </r>
  <r>
    <n v="1028"/>
    <x v="27"/>
    <x v="1"/>
    <s v="Rahul"/>
    <x v="2"/>
    <x v="21"/>
    <x v="20"/>
  </r>
  <r>
    <n v="1029"/>
    <x v="28"/>
    <x v="2"/>
    <s v="Karan"/>
    <x v="0"/>
    <x v="8"/>
    <x v="8"/>
  </r>
  <r>
    <n v="1030"/>
    <x v="29"/>
    <x v="2"/>
    <s v="Karan"/>
    <x v="0"/>
    <x v="0"/>
    <x v="0"/>
  </r>
  <r>
    <n v="1031"/>
    <x v="30"/>
    <x v="3"/>
    <s v="Sneha"/>
    <x v="1"/>
    <x v="9"/>
    <x v="9"/>
  </r>
  <r>
    <n v="1032"/>
    <x v="31"/>
    <x v="3"/>
    <s v="Sneha"/>
    <x v="1"/>
    <x v="14"/>
    <x v="13"/>
  </r>
  <r>
    <n v="1033"/>
    <x v="32"/>
    <x v="0"/>
    <s v="Amit"/>
    <x v="0"/>
    <x v="2"/>
    <x v="2"/>
  </r>
  <r>
    <n v="1034"/>
    <x v="33"/>
    <x v="0"/>
    <s v="Amit"/>
    <x v="0"/>
    <x v="9"/>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9DB23A-7B8B-4E79-9A83-0C3AE7D027B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11:B15" firstHeaderRow="1" firstDataRow="1" firstDataCol="1"/>
  <pivotFields count="9">
    <pivotField showAll="0"/>
    <pivotField numFmtId="14" showAll="0">
      <items count="35">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0"/>
        <item t="default"/>
      </items>
    </pivotField>
    <pivotField showAll="0">
      <items count="5">
        <item x="3"/>
        <item x="0"/>
        <item x="1"/>
        <item x="2"/>
        <item t="default"/>
      </items>
    </pivotField>
    <pivotField showAll="0"/>
    <pivotField axis="axisRow" showAll="0">
      <items count="4">
        <item x="0"/>
        <item x="1"/>
        <item x="2"/>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Items count="1">
    <i/>
  </colItems>
  <dataFields count="1">
    <dataField name="Sum of Revenue" fld="6" baseField="0" baseItem="0"/>
  </dataFields>
  <chartFormats count="14">
    <chartFormat chart="10"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4" count="1" selected="0">
            <x v="1"/>
          </reference>
        </references>
      </pivotArea>
    </chartFormat>
    <chartFormat chart="14" format="2">
      <pivotArea type="data" outline="0" fieldPosition="0">
        <references count="2">
          <reference field="4294967294" count="1" selected="0">
            <x v="0"/>
          </reference>
          <reference field="4" count="1" selected="0">
            <x v="0"/>
          </reference>
        </references>
      </pivotArea>
    </chartFormat>
    <chartFormat chart="10" format="1">
      <pivotArea type="data" outline="0" fieldPosition="0">
        <references count="2">
          <reference field="4294967294" count="1" selected="0">
            <x v="0"/>
          </reference>
          <reference field="4" count="1" selected="0">
            <x v="1"/>
          </reference>
        </references>
      </pivotArea>
    </chartFormat>
    <chartFormat chart="10" format="2">
      <pivotArea type="data" outline="0" fieldPosition="0">
        <references count="2">
          <reference field="4294967294" count="1" selected="0">
            <x v="0"/>
          </reference>
          <reference field="4" count="1" selected="0">
            <x v="0"/>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4" count="1" selected="0">
            <x v="0"/>
          </reference>
        </references>
      </pivotArea>
    </chartFormat>
    <chartFormat chart="18" format="8">
      <pivotArea type="data" outline="0" fieldPosition="0">
        <references count="2">
          <reference field="4294967294" count="1" selected="0">
            <x v="0"/>
          </reference>
          <reference field="4" count="1" selected="0">
            <x v="1"/>
          </reference>
        </references>
      </pivotArea>
    </chartFormat>
    <chartFormat chart="21" format="7" series="1">
      <pivotArea type="data" outline="0" fieldPosition="0">
        <references count="1">
          <reference field="4294967294" count="1" selected="0">
            <x v="0"/>
          </reference>
        </references>
      </pivotArea>
    </chartFormat>
    <chartFormat chart="21" format="8">
      <pivotArea type="data" outline="0" fieldPosition="0">
        <references count="2">
          <reference field="4294967294" count="1" selected="0">
            <x v="0"/>
          </reference>
          <reference field="4" count="1" selected="0">
            <x v="0"/>
          </reference>
        </references>
      </pivotArea>
    </chartFormat>
    <chartFormat chart="21" format="9">
      <pivotArea type="data" outline="0" fieldPosition="0">
        <references count="2">
          <reference field="4294967294" count="1" selected="0">
            <x v="0"/>
          </reference>
          <reference field="4" count="1" selected="0">
            <x v="1"/>
          </reference>
        </references>
      </pivotArea>
    </chartFormat>
    <chartFormat chart="21" format="10">
      <pivotArea type="data" outline="0" fieldPosition="0">
        <references count="2">
          <reference field="4294967294" count="1" selected="0">
            <x v="0"/>
          </reference>
          <reference field="4" count="1" selected="0">
            <x v="2"/>
          </reference>
        </references>
      </pivotArea>
    </chartFormat>
    <chartFormat chart="14"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3CC9D3-149E-4781-B45C-9E4BC5FBB80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9">
    <pivotField showAll="0"/>
    <pivotField numFmtId="14" showAll="0">
      <items count="35">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0"/>
        <item t="default"/>
      </items>
    </pivotField>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items count="23">
        <item x="10"/>
        <item x="11"/>
        <item x="7"/>
        <item x="1"/>
        <item x="8"/>
        <item x="3"/>
        <item x="19"/>
        <item x="0"/>
        <item x="15"/>
        <item x="9"/>
        <item x="2"/>
        <item x="14"/>
        <item x="18"/>
        <item x="6"/>
        <item x="5"/>
        <item x="13"/>
        <item x="17"/>
        <item x="4"/>
        <item x="21"/>
        <item x="16"/>
        <item x="12"/>
        <item x="20"/>
        <item t="default"/>
      </items>
    </pivotField>
    <pivotField dataField="1" showAll="0">
      <items count="22">
        <item x="5"/>
        <item x="12"/>
        <item x="16"/>
        <item x="4"/>
        <item x="11"/>
        <item x="20"/>
        <item x="15"/>
        <item x="7"/>
        <item x="19"/>
        <item x="1"/>
        <item x="8"/>
        <item x="3"/>
        <item x="10"/>
        <item x="0"/>
        <item x="14"/>
        <item x="9"/>
        <item x="2"/>
        <item x="13"/>
        <item x="18"/>
        <item x="6"/>
        <item x="1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v="1"/>
    </i>
    <i>
      <x/>
    </i>
    <i>
      <x v="2"/>
    </i>
    <i>
      <x v="3"/>
    </i>
    <i t="grand">
      <x/>
    </i>
  </rowItems>
  <colItems count="1">
    <i/>
  </colItems>
  <dataFields count="1">
    <dataField name="Sum of Revenue" fld="6"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0DAC66-0F59-4A8F-8A05-6A82D5710A6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3:C38" firstHeaderRow="0" firstDataRow="1" firstDataCol="1"/>
  <pivotFields count="9">
    <pivotField showAll="0"/>
    <pivotField numFmtId="14" showAll="0">
      <items count="35">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0"/>
        <item t="default"/>
      </items>
    </pivotField>
    <pivotField axis="axisRow" showAll="0">
      <items count="5">
        <item x="3"/>
        <item x="0"/>
        <item x="1"/>
        <item x="2"/>
        <item t="default"/>
      </items>
    </pivotField>
    <pivotField showAll="0"/>
    <pivotField showAll="0">
      <items count="4">
        <item x="0"/>
        <item x="1"/>
        <item x="2"/>
        <item t="default"/>
      </items>
    </pivotField>
    <pivotField dataField="1"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5">
    <i>
      <x/>
    </i>
    <i>
      <x v="1"/>
    </i>
    <i>
      <x v="2"/>
    </i>
    <i>
      <x v="3"/>
    </i>
    <i t="grand">
      <x/>
    </i>
  </rowItems>
  <colFields count="1">
    <field x="-2"/>
  </colFields>
  <colItems count="2">
    <i>
      <x/>
    </i>
    <i i="1">
      <x v="1"/>
    </i>
  </colItems>
  <dataFields count="2">
    <dataField name="Sum of Units" fld="5" baseField="0" baseItem="0"/>
    <dataField name="Sum of Revenue" fld="6" baseField="0" baseItem="0"/>
  </dataFields>
  <chartFormats count="4">
    <chartFormat chart="28"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1"/>
          </reference>
        </references>
      </pivotArea>
    </chartFormat>
    <chartFormat chart="31" format="4"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A30448-1A06-4C86-872B-BF34D70CB5B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5:B30" firstHeaderRow="1" firstDataRow="1" firstDataCol="1"/>
  <pivotFields count="9">
    <pivotField showAll="0"/>
    <pivotField numFmtId="14" showAll="0">
      <items count="35">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0"/>
        <item t="default"/>
      </items>
    </pivotField>
    <pivotField axis="axisRow" showAll="0">
      <items count="5">
        <item x="3"/>
        <item x="0"/>
        <item x="1"/>
        <item x="2"/>
        <item t="default"/>
      </items>
    </pivotField>
    <pivotField showAll="0"/>
    <pivotField showAll="0">
      <items count="4">
        <item x="0"/>
        <item x="1"/>
        <item x="2"/>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5">
    <i>
      <x/>
    </i>
    <i>
      <x v="1"/>
    </i>
    <i>
      <x v="2"/>
    </i>
    <i>
      <x v="3"/>
    </i>
    <i t="grand">
      <x/>
    </i>
  </rowItems>
  <colItems count="1">
    <i/>
  </colItems>
  <dataFields count="1">
    <dataField name="Sum of Units" fld="5"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F79E11-F549-4E5A-A12E-DE28892EAA7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7:B22" firstHeaderRow="1" firstDataRow="1" firstDataCol="1"/>
  <pivotFields count="9">
    <pivotField showAll="0"/>
    <pivotField axis="axisRow" numFmtId="14" showAll="0">
      <items count="35">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0"/>
        <item t="default"/>
      </items>
    </pivotField>
    <pivotField showAll="0">
      <items count="5">
        <item x="3"/>
        <item x="0"/>
        <item x="1"/>
        <item x="2"/>
        <item t="default"/>
      </items>
    </pivotField>
    <pivotField showAll="0"/>
    <pivotField showAll="0">
      <items count="4">
        <item x="0"/>
        <item x="1"/>
        <item x="2"/>
        <item t="default"/>
      </items>
    </pivotField>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8"/>
    <field x="1"/>
  </rowFields>
  <rowItems count="5">
    <i>
      <x v="1"/>
    </i>
    <i>
      <x v="2"/>
    </i>
    <i>
      <x v="3"/>
    </i>
    <i>
      <x v="5"/>
    </i>
    <i t="grand">
      <x/>
    </i>
  </rowItems>
  <colItems count="1">
    <i/>
  </colItems>
  <dataFields count="1">
    <dataField name="Sum of Revenue" fld="6" baseField="0" baseItem="0"/>
  </dataFields>
  <chartFormats count="5">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8" count="1" selected="0">
            <x v="3"/>
          </reference>
        </references>
      </pivotArea>
    </chartFormat>
    <chartFormat chart="7" format="4">
      <pivotArea type="data" outline="0" fieldPosition="0">
        <references count="2">
          <reference field="4294967294" count="1" selected="0">
            <x v="0"/>
          </reference>
          <reference field="8" count="1" selected="0">
            <x v="5"/>
          </reference>
        </references>
      </pivotArea>
    </chartFormat>
    <chartFormat chart="7" format="5">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083AE1B-C570-4310-A766-7912ABAF6973}" autoFormatId="16" applyNumberFormats="0" applyBorderFormats="0" applyFontFormats="0" applyPatternFormats="0" applyAlignmentFormats="0" applyWidthHeightFormats="0">
  <queryTableRefresh nextId="8">
    <queryTableFields count="7">
      <queryTableField id="1" name="Order ID" tableColumnId="1"/>
      <queryTableField id="2" name="Date" tableColumnId="2"/>
      <queryTableField id="3" name="Region" tableColumnId="3"/>
      <queryTableField id="4" name="Salesperson" tableColumnId="4"/>
      <queryTableField id="5" name="Product Category" tableColumnId="5"/>
      <queryTableField id="6" name="Units" tableColumnId="6"/>
      <queryTableField id="7" name="Revenue"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481F561-E12C-46DF-89A8-EF5D22519252}" sourceName="Region">
  <pivotTables>
    <pivotTable tabId="6" name="PivotTable1"/>
    <pivotTable tabId="6" name="PivotTable2"/>
    <pivotTable tabId="6" name="PivotTable3"/>
    <pivotTable tabId="6" name="PivotTable4"/>
    <pivotTable tabId="6" name="PivotTable5"/>
  </pivotTables>
  <data>
    <tabular pivotCacheId="1303286049">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60BFA6F-8ADE-444F-A681-E642B71812A3}" sourceName="Product Category">
  <pivotTables>
    <pivotTable tabId="6" name="PivotTable1"/>
    <pivotTable tabId="6" name="PivotTable2"/>
    <pivotTable tabId="6" name="PivotTable3"/>
    <pivotTable tabId="6" name="PivotTable4"/>
    <pivotTable tabId="6" name="PivotTable5"/>
  </pivotTables>
  <data>
    <tabular pivotCacheId="130328604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C8CD994-4E4E-4777-A57B-49A0D1162002}" cache="Slicer_Region" caption="Region" rowHeight="234950"/>
  <slicer name="Product Category" xr10:uid="{BE11DF31-D68B-4C65-A384-48C07680CF99}" cache="Slicer_Product_Category" caption="Product 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8F6185B-4EDB-4F8F-9C9B-C7D3EE6349DC}" cache="Slicer_Region" caption="Region" style="SlicerStyleLight4" rowHeight="234950"/>
  <slicer name="Product Category 1" xr10:uid="{8C66BA06-A694-43D6-A06D-3A104E0DF7D9}" cache="Slicer_Product_Category" caption="Product Category" style="SlicerStyleLight6"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AAD0BF-DEB9-4355-9B8E-B1D4529ADCA9}" name="Table1" displayName="Table1" ref="A1:G36" totalsRowShown="0" headerRowDxfId="4">
  <autoFilter ref="A1:G36" xr:uid="{0DAAD0BF-DEB9-4355-9B8E-B1D4529ADCA9}"/>
  <tableColumns count="7">
    <tableColumn id="1" xr3:uid="{86A6A620-1548-4B1F-A759-68F4E5C5FAAE}" name="Order ID"/>
    <tableColumn id="2" xr3:uid="{BDFADCF1-4422-4BE4-9834-473F3F1F25E8}" name="Date"/>
    <tableColumn id="3" xr3:uid="{DE306284-7F0B-4925-B9C9-6A305E86E536}" name="Region"/>
    <tableColumn id="4" xr3:uid="{B1006DFC-687C-4AA0-BACE-3B36E8B96250}" name="Salesperson"/>
    <tableColumn id="5" xr3:uid="{194B4488-8ECE-4794-BB48-99F0535608FC}" name="Product Category"/>
    <tableColumn id="6" xr3:uid="{125D26B4-72B9-4C63-BFFE-667B4A151992}" name="Units"/>
    <tableColumn id="7" xr3:uid="{46B5457D-C6EB-42D3-893E-46022A68B52C}" name="Revenu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8C3612-5868-4397-A60F-D3F2E0E02451}" name="Clean\_Sales\_Data" displayName="Clean\_Sales\_Data" ref="A1:G35" tableType="queryTable" totalsRowShown="0">
  <autoFilter ref="A1:G35" xr:uid="{1F8C3612-5868-4397-A60F-D3F2E0E02451}"/>
  <tableColumns count="7">
    <tableColumn id="1" xr3:uid="{436E1D46-3E25-454C-9F48-11DEEB6621BE}" uniqueName="1" name="Order ID" queryTableFieldId="1"/>
    <tableColumn id="2" xr3:uid="{7F878A0A-1A2D-4D7F-BFEA-1D43155021C2}" uniqueName="2" name="Date" queryTableFieldId="2" dataDxfId="3"/>
    <tableColumn id="3" xr3:uid="{7E991ABF-CE7A-49B4-8EBC-9E4DC53E1761}" uniqueName="3" name="Region" queryTableFieldId="3" dataDxfId="2"/>
    <tableColumn id="4" xr3:uid="{87E726B6-C805-4184-94D3-5CA53ADB5156}" uniqueName="4" name="Salesperson" queryTableFieldId="4" dataDxfId="1"/>
    <tableColumn id="5" xr3:uid="{D66F84AA-4B32-4A2B-96D1-9F5473A7690E}" uniqueName="5" name="Product Category" queryTableFieldId="5" dataDxfId="0"/>
    <tableColumn id="6" xr3:uid="{6653B4BE-34BC-42C0-9CCA-8F9917459762}" uniqueName="6" name="Units" queryTableFieldId="6"/>
    <tableColumn id="7" xr3:uid="{9CE62CB2-EE0F-4675-AEB1-46D8F6038FAA}" uniqueName="7" name="Revenue"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6"/>
  <sheetViews>
    <sheetView workbookViewId="0">
      <pane ySplit="1" topLeftCell="A2" activePane="bottomLeft" state="frozen"/>
      <selection pane="bottomLeft" activeCell="K25" sqref="K25"/>
    </sheetView>
  </sheetViews>
  <sheetFormatPr defaultRowHeight="14.4" x14ac:dyDescent="0.3"/>
  <cols>
    <col min="1" max="1" width="12" customWidth="1"/>
    <col min="2" max="2" width="15" customWidth="1"/>
    <col min="3" max="3" width="14" customWidth="1"/>
    <col min="4" max="4" width="16" customWidth="1"/>
    <col min="5" max="5" width="22" customWidth="1"/>
    <col min="6" max="6" width="10" customWidth="1"/>
    <col min="7" max="7" width="14" customWidth="1"/>
  </cols>
  <sheetData>
    <row r="1" spans="1:7" x14ac:dyDescent="0.3">
      <c r="A1" s="1" t="s">
        <v>0</v>
      </c>
      <c r="B1" s="1" t="s">
        <v>1</v>
      </c>
      <c r="C1" s="1" t="s">
        <v>2</v>
      </c>
      <c r="D1" s="1" t="s">
        <v>3</v>
      </c>
      <c r="E1" s="1" t="s">
        <v>4</v>
      </c>
      <c r="F1" s="1" t="s">
        <v>5</v>
      </c>
      <c r="G1" s="1" t="s">
        <v>6</v>
      </c>
    </row>
    <row r="2" spans="1:7" x14ac:dyDescent="0.3">
      <c r="A2">
        <v>1001</v>
      </c>
      <c r="B2" t="s">
        <v>7</v>
      </c>
      <c r="C2" t="s">
        <v>8</v>
      </c>
      <c r="D2" t="s">
        <v>9</v>
      </c>
      <c r="E2" t="s">
        <v>10</v>
      </c>
      <c r="F2">
        <v>12</v>
      </c>
      <c r="G2">
        <v>18000</v>
      </c>
    </row>
    <row r="3" spans="1:7" x14ac:dyDescent="0.3">
      <c r="A3">
        <v>1002</v>
      </c>
      <c r="B3" t="s">
        <v>11</v>
      </c>
      <c r="C3" t="s">
        <v>12</v>
      </c>
      <c r="D3" t="s">
        <v>13</v>
      </c>
      <c r="E3" t="s">
        <v>14</v>
      </c>
      <c r="F3">
        <v>8</v>
      </c>
      <c r="G3">
        <v>12000</v>
      </c>
    </row>
    <row r="4" spans="1:7" x14ac:dyDescent="0.3">
      <c r="A4">
        <v>1003</v>
      </c>
      <c r="B4" t="s">
        <v>15</v>
      </c>
      <c r="C4" t="s">
        <v>16</v>
      </c>
      <c r="D4" t="s">
        <v>17</v>
      </c>
      <c r="E4" t="s">
        <v>18</v>
      </c>
      <c r="F4">
        <v>15</v>
      </c>
      <c r="G4">
        <v>22500</v>
      </c>
    </row>
    <row r="5" spans="1:7" x14ac:dyDescent="0.3">
      <c r="A5">
        <v>1004</v>
      </c>
      <c r="B5" t="s">
        <v>19</v>
      </c>
      <c r="C5" t="s">
        <v>20</v>
      </c>
      <c r="D5" t="s">
        <v>21</v>
      </c>
      <c r="E5" t="s">
        <v>18</v>
      </c>
      <c r="F5">
        <v>10</v>
      </c>
      <c r="G5">
        <v>15000</v>
      </c>
    </row>
    <row r="6" spans="1:7" x14ac:dyDescent="0.3">
      <c r="A6">
        <v>1005</v>
      </c>
      <c r="B6" t="s">
        <v>22</v>
      </c>
      <c r="C6" t="s">
        <v>23</v>
      </c>
      <c r="D6" t="s">
        <v>24</v>
      </c>
      <c r="E6" t="s">
        <v>25</v>
      </c>
      <c r="F6">
        <v>25</v>
      </c>
      <c r="G6">
        <v>8750</v>
      </c>
    </row>
    <row r="7" spans="1:7" x14ac:dyDescent="0.3">
      <c r="A7">
        <v>1006</v>
      </c>
      <c r="B7" t="s">
        <v>26</v>
      </c>
      <c r="C7" t="s">
        <v>27</v>
      </c>
      <c r="D7" t="s">
        <v>28</v>
      </c>
      <c r="E7" t="s">
        <v>25</v>
      </c>
      <c r="F7">
        <v>20</v>
      </c>
      <c r="G7" s="8">
        <v>7000</v>
      </c>
    </row>
    <row r="8" spans="1:7" x14ac:dyDescent="0.3">
      <c r="A8">
        <v>1007</v>
      </c>
      <c r="B8" t="s">
        <v>29</v>
      </c>
      <c r="C8" t="s">
        <v>30</v>
      </c>
      <c r="D8" t="s">
        <v>31</v>
      </c>
      <c r="E8" t="s">
        <v>10</v>
      </c>
      <c r="F8">
        <v>18</v>
      </c>
      <c r="G8">
        <v>27000</v>
      </c>
    </row>
    <row r="9" spans="1:7" x14ac:dyDescent="0.3">
      <c r="A9">
        <v>1008</v>
      </c>
      <c r="B9" t="s">
        <v>32</v>
      </c>
      <c r="C9" t="s">
        <v>33</v>
      </c>
      <c r="D9" t="s">
        <v>34</v>
      </c>
      <c r="E9" t="s">
        <v>10</v>
      </c>
      <c r="F9">
        <v>10</v>
      </c>
      <c r="G9">
        <v>15000</v>
      </c>
    </row>
    <row r="10" spans="1:7" x14ac:dyDescent="0.3">
      <c r="A10">
        <v>1009</v>
      </c>
      <c r="B10" t="s">
        <v>35</v>
      </c>
      <c r="C10" t="s">
        <v>8</v>
      </c>
      <c r="D10" t="s">
        <v>9</v>
      </c>
      <c r="E10" t="s">
        <v>18</v>
      </c>
      <c r="F10">
        <v>7</v>
      </c>
      <c r="G10">
        <v>10500</v>
      </c>
    </row>
    <row r="11" spans="1:7" x14ac:dyDescent="0.3">
      <c r="A11">
        <v>1010</v>
      </c>
      <c r="B11" t="s">
        <v>36</v>
      </c>
      <c r="C11" t="s">
        <v>37</v>
      </c>
      <c r="D11" t="s">
        <v>9</v>
      </c>
      <c r="E11" t="s">
        <v>18</v>
      </c>
      <c r="F11">
        <v>9</v>
      </c>
      <c r="G11">
        <v>13500</v>
      </c>
    </row>
    <row r="12" spans="1:7" x14ac:dyDescent="0.3">
      <c r="A12">
        <v>1011</v>
      </c>
      <c r="B12" t="s">
        <v>38</v>
      </c>
      <c r="C12" t="s">
        <v>16</v>
      </c>
      <c r="D12" t="s">
        <v>17</v>
      </c>
      <c r="E12" t="s">
        <v>39</v>
      </c>
      <c r="F12">
        <v>14</v>
      </c>
      <c r="G12">
        <v>21000</v>
      </c>
    </row>
    <row r="13" spans="1:7" x14ac:dyDescent="0.3">
      <c r="A13">
        <v>1012</v>
      </c>
      <c r="B13" t="s">
        <v>40</v>
      </c>
      <c r="C13" t="s">
        <v>16</v>
      </c>
      <c r="D13" t="s">
        <v>17</v>
      </c>
      <c r="E13" t="s">
        <v>41</v>
      </c>
      <c r="G13">
        <v>16500</v>
      </c>
    </row>
    <row r="14" spans="1:7" x14ac:dyDescent="0.3">
      <c r="A14">
        <v>1013</v>
      </c>
      <c r="B14" t="s">
        <v>42</v>
      </c>
      <c r="C14" t="s">
        <v>23</v>
      </c>
      <c r="D14" t="s">
        <v>24</v>
      </c>
      <c r="E14" t="s">
        <v>18</v>
      </c>
      <c r="F14">
        <v>6</v>
      </c>
      <c r="G14">
        <v>9000</v>
      </c>
    </row>
    <row r="15" spans="1:7" x14ac:dyDescent="0.3">
      <c r="A15">
        <v>1014</v>
      </c>
      <c r="B15" t="s">
        <v>43</v>
      </c>
      <c r="C15" t="s">
        <v>23</v>
      </c>
      <c r="D15" t="s">
        <v>44</v>
      </c>
      <c r="E15" t="s">
        <v>18</v>
      </c>
      <c r="F15">
        <v>8</v>
      </c>
      <c r="G15">
        <v>12000</v>
      </c>
    </row>
    <row r="16" spans="1:7" x14ac:dyDescent="0.3">
      <c r="A16">
        <v>1015</v>
      </c>
      <c r="B16" t="s">
        <v>45</v>
      </c>
      <c r="C16" t="s">
        <v>30</v>
      </c>
      <c r="D16" t="s">
        <v>31</v>
      </c>
      <c r="E16" t="s">
        <v>25</v>
      </c>
      <c r="F16">
        <v>30</v>
      </c>
      <c r="G16">
        <v>10500</v>
      </c>
    </row>
    <row r="17" spans="1:7" x14ac:dyDescent="0.3">
      <c r="A17">
        <v>1016</v>
      </c>
      <c r="B17" t="s">
        <v>46</v>
      </c>
      <c r="C17" t="s">
        <v>30</v>
      </c>
      <c r="D17" t="s">
        <v>31</v>
      </c>
      <c r="E17" t="s">
        <v>25</v>
      </c>
      <c r="F17">
        <v>22</v>
      </c>
      <c r="G17">
        <v>7700</v>
      </c>
    </row>
    <row r="18" spans="1:7" x14ac:dyDescent="0.3">
      <c r="A18">
        <v>1017</v>
      </c>
      <c r="B18" t="s">
        <v>47</v>
      </c>
      <c r="C18" t="s">
        <v>8</v>
      </c>
      <c r="D18" t="s">
        <v>9</v>
      </c>
      <c r="E18" t="s">
        <v>10</v>
      </c>
      <c r="F18">
        <v>16</v>
      </c>
      <c r="G18">
        <v>24000</v>
      </c>
    </row>
    <row r="19" spans="1:7" x14ac:dyDescent="0.3">
      <c r="A19">
        <v>1018</v>
      </c>
      <c r="B19" t="s">
        <v>48</v>
      </c>
      <c r="C19" t="s">
        <v>49</v>
      </c>
      <c r="D19" t="s">
        <v>50</v>
      </c>
      <c r="E19" t="s">
        <v>10</v>
      </c>
      <c r="F19">
        <v>13</v>
      </c>
      <c r="G19">
        <v>19500</v>
      </c>
    </row>
    <row r="20" spans="1:7" x14ac:dyDescent="0.3">
      <c r="A20">
        <v>1019</v>
      </c>
      <c r="B20" t="s">
        <v>51</v>
      </c>
      <c r="C20" t="s">
        <v>16</v>
      </c>
      <c r="D20" t="s">
        <v>52</v>
      </c>
      <c r="E20" t="s">
        <v>18</v>
      </c>
      <c r="F20">
        <v>12</v>
      </c>
      <c r="G20">
        <v>18000</v>
      </c>
    </row>
    <row r="21" spans="1:7" x14ac:dyDescent="0.3">
      <c r="A21">
        <v>1020</v>
      </c>
      <c r="B21" t="s">
        <v>53</v>
      </c>
      <c r="C21" t="s">
        <v>16</v>
      </c>
      <c r="D21" t="s">
        <v>17</v>
      </c>
      <c r="E21" t="s">
        <v>54</v>
      </c>
      <c r="F21">
        <v>9</v>
      </c>
      <c r="G21">
        <v>13500</v>
      </c>
    </row>
    <row r="22" spans="1:7" x14ac:dyDescent="0.3">
      <c r="A22">
        <v>1021</v>
      </c>
      <c r="B22" t="s">
        <v>55</v>
      </c>
      <c r="C22" t="s">
        <v>23</v>
      </c>
      <c r="D22" t="s">
        <v>24</v>
      </c>
      <c r="E22" t="s">
        <v>25</v>
      </c>
      <c r="F22">
        <v>28</v>
      </c>
      <c r="G22">
        <v>9800</v>
      </c>
    </row>
    <row r="23" spans="1:7" x14ac:dyDescent="0.3">
      <c r="A23">
        <v>1022</v>
      </c>
      <c r="B23" t="s">
        <v>56</v>
      </c>
      <c r="C23" t="s">
        <v>57</v>
      </c>
      <c r="D23" t="s">
        <v>24</v>
      </c>
      <c r="E23" t="s">
        <v>58</v>
      </c>
      <c r="F23">
        <v>24</v>
      </c>
      <c r="G23">
        <v>8400</v>
      </c>
    </row>
    <row r="24" spans="1:7" x14ac:dyDescent="0.3">
      <c r="A24">
        <v>1023</v>
      </c>
      <c r="B24" t="s">
        <v>59</v>
      </c>
      <c r="C24" t="s">
        <v>30</v>
      </c>
      <c r="D24" t="s">
        <v>31</v>
      </c>
      <c r="E24" t="s">
        <v>10</v>
      </c>
      <c r="F24">
        <v>20</v>
      </c>
      <c r="G24">
        <v>30000</v>
      </c>
    </row>
    <row r="25" spans="1:7" x14ac:dyDescent="0.3">
      <c r="A25">
        <v>1024</v>
      </c>
      <c r="B25" t="s">
        <v>60</v>
      </c>
      <c r="C25" t="s">
        <v>30</v>
      </c>
      <c r="D25" t="s">
        <v>31</v>
      </c>
      <c r="E25" t="s">
        <v>10</v>
      </c>
      <c r="F25">
        <v>17</v>
      </c>
      <c r="G25">
        <v>25500</v>
      </c>
    </row>
    <row r="26" spans="1:7" x14ac:dyDescent="0.3">
      <c r="A26">
        <v>1025</v>
      </c>
      <c r="B26" t="s">
        <v>61</v>
      </c>
      <c r="C26" t="s">
        <v>8</v>
      </c>
      <c r="D26" t="s">
        <v>9</v>
      </c>
      <c r="E26" t="s">
        <v>18</v>
      </c>
      <c r="F26">
        <v>11</v>
      </c>
      <c r="G26">
        <v>16500</v>
      </c>
    </row>
    <row r="27" spans="1:7" x14ac:dyDescent="0.3">
      <c r="A27">
        <v>1026</v>
      </c>
      <c r="B27" t="s">
        <v>62</v>
      </c>
      <c r="C27" t="s">
        <v>8</v>
      </c>
      <c r="D27" t="s">
        <v>9</v>
      </c>
      <c r="E27" t="s">
        <v>18</v>
      </c>
      <c r="F27">
        <v>10</v>
      </c>
      <c r="G27">
        <v>15000</v>
      </c>
    </row>
    <row r="28" spans="1:7" x14ac:dyDescent="0.3">
      <c r="A28">
        <v>1027</v>
      </c>
      <c r="B28" t="s">
        <v>63</v>
      </c>
      <c r="C28" t="s">
        <v>16</v>
      </c>
      <c r="D28" t="s">
        <v>17</v>
      </c>
      <c r="E28" t="s">
        <v>25</v>
      </c>
      <c r="F28">
        <v>32</v>
      </c>
      <c r="G28">
        <v>11200</v>
      </c>
    </row>
    <row r="29" spans="1:7" x14ac:dyDescent="0.3">
      <c r="A29">
        <v>1028</v>
      </c>
      <c r="B29" t="s">
        <v>64</v>
      </c>
      <c r="C29" t="s">
        <v>65</v>
      </c>
      <c r="D29" t="s">
        <v>17</v>
      </c>
      <c r="E29" t="s">
        <v>25</v>
      </c>
      <c r="F29">
        <v>27</v>
      </c>
      <c r="G29" s="8">
        <v>9450</v>
      </c>
    </row>
    <row r="30" spans="1:7" x14ac:dyDescent="0.3">
      <c r="A30">
        <v>1029</v>
      </c>
      <c r="B30" t="s">
        <v>66</v>
      </c>
      <c r="C30" t="s">
        <v>23</v>
      </c>
      <c r="D30" t="s">
        <v>24</v>
      </c>
      <c r="E30" t="s">
        <v>10</v>
      </c>
      <c r="F30">
        <v>9</v>
      </c>
      <c r="G30">
        <v>13500</v>
      </c>
    </row>
    <row r="31" spans="1:7" x14ac:dyDescent="0.3">
      <c r="A31">
        <v>1030</v>
      </c>
      <c r="B31" t="s">
        <v>67</v>
      </c>
      <c r="C31" t="s">
        <v>23</v>
      </c>
      <c r="D31" t="s">
        <v>24</v>
      </c>
      <c r="E31" t="s">
        <v>10</v>
      </c>
      <c r="F31">
        <v>12</v>
      </c>
      <c r="G31">
        <v>18000</v>
      </c>
    </row>
    <row r="32" spans="1:7" x14ac:dyDescent="0.3">
      <c r="A32">
        <v>1031</v>
      </c>
      <c r="B32" t="s">
        <v>68</v>
      </c>
      <c r="C32" t="s">
        <v>30</v>
      </c>
      <c r="D32" t="s">
        <v>31</v>
      </c>
      <c r="E32" t="s">
        <v>18</v>
      </c>
      <c r="F32">
        <v>14</v>
      </c>
      <c r="G32">
        <v>21000</v>
      </c>
    </row>
    <row r="33" spans="1:7" x14ac:dyDescent="0.3">
      <c r="A33">
        <v>1032</v>
      </c>
      <c r="B33" t="s">
        <v>69</v>
      </c>
      <c r="C33" t="s">
        <v>70</v>
      </c>
      <c r="D33" t="s">
        <v>71</v>
      </c>
      <c r="E33" t="s">
        <v>18</v>
      </c>
      <c r="F33">
        <v>16</v>
      </c>
      <c r="G33">
        <v>24000</v>
      </c>
    </row>
    <row r="34" spans="1:7" x14ac:dyDescent="0.3">
      <c r="A34">
        <v>1033</v>
      </c>
      <c r="B34" t="s">
        <v>72</v>
      </c>
      <c r="C34" t="s">
        <v>8</v>
      </c>
      <c r="D34" t="s">
        <v>9</v>
      </c>
      <c r="E34" t="s">
        <v>10</v>
      </c>
      <c r="F34">
        <v>15</v>
      </c>
      <c r="G34">
        <v>22500</v>
      </c>
    </row>
    <row r="35" spans="1:7" x14ac:dyDescent="0.3">
      <c r="A35">
        <v>1034</v>
      </c>
      <c r="B35" t="s">
        <v>73</v>
      </c>
      <c r="C35" t="s">
        <v>49</v>
      </c>
      <c r="D35" t="s">
        <v>9</v>
      </c>
      <c r="E35" t="s">
        <v>10</v>
      </c>
      <c r="F35">
        <v>14</v>
      </c>
      <c r="G35">
        <v>21000</v>
      </c>
    </row>
    <row r="36" spans="1:7" x14ac:dyDescent="0.3">
      <c r="A36">
        <v>1034</v>
      </c>
      <c r="B36" t="s">
        <v>73</v>
      </c>
      <c r="C36" t="s">
        <v>49</v>
      </c>
      <c r="D36" t="s">
        <v>9</v>
      </c>
      <c r="E36" t="s">
        <v>10</v>
      </c>
      <c r="F36">
        <v>14</v>
      </c>
      <c r="G36">
        <v>21000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1"/>
  <sheetViews>
    <sheetView workbookViewId="0">
      <pane ySplit="1" topLeftCell="A2" activePane="bottomLeft" state="frozen"/>
      <selection pane="bottomLeft" activeCell="B27" sqref="B27"/>
    </sheetView>
  </sheetViews>
  <sheetFormatPr defaultRowHeight="14.4" x14ac:dyDescent="0.3"/>
  <cols>
    <col min="1" max="1" width="35" customWidth="1"/>
    <col min="2" max="2" width="65" customWidth="1"/>
  </cols>
  <sheetData>
    <row r="1" spans="1:2" ht="18" x14ac:dyDescent="0.3">
      <c r="A1" s="2" t="s">
        <v>74</v>
      </c>
      <c r="B1" s="3"/>
    </row>
    <row r="2" spans="1:2" ht="28.8" x14ac:dyDescent="0.3">
      <c r="A2" s="4" t="s">
        <v>75</v>
      </c>
      <c r="B2" s="3" t="s">
        <v>76</v>
      </c>
    </row>
    <row r="3" spans="1:2" ht="28.8" x14ac:dyDescent="0.3">
      <c r="A3" s="4" t="s">
        <v>77</v>
      </c>
      <c r="B3" s="3" t="s">
        <v>78</v>
      </c>
    </row>
    <row r="4" spans="1:2" x14ac:dyDescent="0.3">
      <c r="A4" s="4" t="s">
        <v>79</v>
      </c>
      <c r="B4" s="3" t="s">
        <v>80</v>
      </c>
    </row>
    <row r="5" spans="1:2" x14ac:dyDescent="0.3">
      <c r="A5" s="4"/>
      <c r="B5" s="3"/>
    </row>
    <row r="6" spans="1:2" x14ac:dyDescent="0.3">
      <c r="A6" s="5" t="s">
        <v>81</v>
      </c>
      <c r="B6" s="3"/>
    </row>
    <row r="7" spans="1:2" x14ac:dyDescent="0.3">
      <c r="A7" s="4" t="s">
        <v>82</v>
      </c>
      <c r="B7" s="3" t="s">
        <v>83</v>
      </c>
    </row>
    <row r="8" spans="1:2" x14ac:dyDescent="0.3">
      <c r="A8" s="4" t="s">
        <v>84</v>
      </c>
      <c r="B8" s="3" t="s">
        <v>85</v>
      </c>
    </row>
    <row r="9" spans="1:2" x14ac:dyDescent="0.3">
      <c r="A9" s="4" t="s">
        <v>86</v>
      </c>
      <c r="B9" s="3" t="s">
        <v>87</v>
      </c>
    </row>
    <row r="10" spans="1:2" x14ac:dyDescent="0.3">
      <c r="A10" s="4" t="s">
        <v>88</v>
      </c>
      <c r="B10" s="3" t="s">
        <v>89</v>
      </c>
    </row>
    <row r="11" spans="1:2" x14ac:dyDescent="0.3">
      <c r="A11" s="4" t="s">
        <v>90</v>
      </c>
      <c r="B11" s="3" t="s">
        <v>91</v>
      </c>
    </row>
    <row r="12" spans="1:2" x14ac:dyDescent="0.3">
      <c r="A12" s="4" t="s">
        <v>92</v>
      </c>
      <c r="B12" s="3" t="s">
        <v>93</v>
      </c>
    </row>
    <row r="13" spans="1:2" x14ac:dyDescent="0.3">
      <c r="A13" s="4" t="s">
        <v>94</v>
      </c>
      <c r="B13" s="3" t="s">
        <v>95</v>
      </c>
    </row>
    <row r="14" spans="1:2" x14ac:dyDescent="0.3">
      <c r="A14" s="4" t="s">
        <v>96</v>
      </c>
      <c r="B14" s="3" t="s">
        <v>97</v>
      </c>
    </row>
    <row r="15" spans="1:2" x14ac:dyDescent="0.3">
      <c r="A15" s="4" t="s">
        <v>98</v>
      </c>
      <c r="B15" s="3" t="s">
        <v>99</v>
      </c>
    </row>
    <row r="16" spans="1:2" x14ac:dyDescent="0.3">
      <c r="A16" s="4" t="s">
        <v>100</v>
      </c>
      <c r="B16" s="3" t="s">
        <v>101</v>
      </c>
    </row>
    <row r="17" spans="1:2" x14ac:dyDescent="0.3">
      <c r="A17" s="4" t="s">
        <v>102</v>
      </c>
      <c r="B17" s="3" t="s">
        <v>103</v>
      </c>
    </row>
    <row r="18" spans="1:2" x14ac:dyDescent="0.3">
      <c r="A18" s="4"/>
      <c r="B18" s="3"/>
    </row>
    <row r="19" spans="1:2" x14ac:dyDescent="0.3">
      <c r="A19" s="5" t="s">
        <v>104</v>
      </c>
      <c r="B19" s="3"/>
    </row>
    <row r="20" spans="1:2" ht="28.8" x14ac:dyDescent="0.3">
      <c r="A20" s="4" t="s">
        <v>105</v>
      </c>
      <c r="B20" s="3" t="s">
        <v>106</v>
      </c>
    </row>
    <row r="21" spans="1:2" ht="28.8" x14ac:dyDescent="0.3">
      <c r="A21" s="4" t="s">
        <v>107</v>
      </c>
      <c r="B21" s="3" t="s">
        <v>108</v>
      </c>
    </row>
    <row r="22" spans="1:2" ht="28.8" x14ac:dyDescent="0.3">
      <c r="A22" s="4" t="s">
        <v>109</v>
      </c>
      <c r="B22" s="3" t="s">
        <v>110</v>
      </c>
    </row>
    <row r="23" spans="1:2" x14ac:dyDescent="0.3">
      <c r="A23" s="4" t="s">
        <v>111</v>
      </c>
      <c r="B23" s="3" t="s">
        <v>112</v>
      </c>
    </row>
    <row r="24" spans="1:2" x14ac:dyDescent="0.3">
      <c r="A24" s="4" t="s">
        <v>113</v>
      </c>
      <c r="B24" s="3" t="s">
        <v>114</v>
      </c>
    </row>
    <row r="25" spans="1:2" x14ac:dyDescent="0.3">
      <c r="A25" s="4" t="s">
        <v>115</v>
      </c>
      <c r="B25" s="3" t="s">
        <v>116</v>
      </c>
    </row>
    <row r="26" spans="1:2" ht="28.8" x14ac:dyDescent="0.3">
      <c r="A26" s="4" t="s">
        <v>117</v>
      </c>
      <c r="B26" s="3" t="s">
        <v>118</v>
      </c>
    </row>
    <row r="27" spans="1:2" x14ac:dyDescent="0.3">
      <c r="A27" s="4" t="s">
        <v>119</v>
      </c>
      <c r="B27" s="3" t="s">
        <v>120</v>
      </c>
    </row>
    <row r="28" spans="1:2" x14ac:dyDescent="0.3">
      <c r="A28" s="4"/>
      <c r="B28" s="3"/>
    </row>
    <row r="29" spans="1:2" ht="28.8" x14ac:dyDescent="0.3">
      <c r="A29" s="4" t="s">
        <v>121</v>
      </c>
      <c r="B29" s="3" t="s">
        <v>122</v>
      </c>
    </row>
    <row r="31" spans="1:2" x14ac:dyDescent="0.3">
      <c r="A31" s="6"/>
    </row>
  </sheetData>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9"/>
  <sheetViews>
    <sheetView workbookViewId="0">
      <pane ySplit="1" topLeftCell="A2" activePane="bottomLeft" state="frozen"/>
      <selection pane="bottomLeft" activeCell="B19" sqref="B19"/>
    </sheetView>
  </sheetViews>
  <sheetFormatPr defaultRowHeight="14.4" x14ac:dyDescent="0.3"/>
  <cols>
    <col min="1" max="1" width="30" customWidth="1"/>
    <col min="2" max="2" width="65" customWidth="1"/>
    <col min="3" max="3" width="53" customWidth="1"/>
  </cols>
  <sheetData>
    <row r="1" spans="1:3" x14ac:dyDescent="0.3">
      <c r="A1" s="7" t="s">
        <v>123</v>
      </c>
      <c r="B1" s="7" t="s">
        <v>124</v>
      </c>
      <c r="C1" s="7" t="s">
        <v>125</v>
      </c>
    </row>
    <row r="2" spans="1:3" x14ac:dyDescent="0.3">
      <c r="A2" s="3" t="s">
        <v>105</v>
      </c>
      <c r="B2" s="3" t="s">
        <v>126</v>
      </c>
      <c r="C2" s="3" t="s">
        <v>127</v>
      </c>
    </row>
    <row r="3" spans="1:3" x14ac:dyDescent="0.3">
      <c r="A3" s="3" t="s">
        <v>107</v>
      </c>
      <c r="B3" s="3" t="s">
        <v>128</v>
      </c>
      <c r="C3" s="3" t="s">
        <v>129</v>
      </c>
    </row>
    <row r="4" spans="1:3" x14ac:dyDescent="0.3">
      <c r="A4" s="3" t="s">
        <v>109</v>
      </c>
      <c r="B4" s="3" t="s">
        <v>130</v>
      </c>
      <c r="C4" s="3" t="s">
        <v>129</v>
      </c>
    </row>
    <row r="5" spans="1:3" x14ac:dyDescent="0.3">
      <c r="A5" s="3" t="s">
        <v>111</v>
      </c>
      <c r="B5" s="3" t="s">
        <v>131</v>
      </c>
      <c r="C5" s="3" t="s">
        <v>132</v>
      </c>
    </row>
    <row r="6" spans="1:3" x14ac:dyDescent="0.3">
      <c r="A6" s="3" t="s">
        <v>113</v>
      </c>
      <c r="B6" s="3" t="s">
        <v>133</v>
      </c>
      <c r="C6" s="3" t="s">
        <v>129</v>
      </c>
    </row>
    <row r="7" spans="1:3" x14ac:dyDescent="0.3">
      <c r="A7" s="3" t="s">
        <v>115</v>
      </c>
      <c r="B7" s="3" t="s">
        <v>134</v>
      </c>
      <c r="C7" s="3" t="s">
        <v>135</v>
      </c>
    </row>
    <row r="8" spans="1:3" x14ac:dyDescent="0.3">
      <c r="A8" s="3" t="s">
        <v>117</v>
      </c>
      <c r="B8" s="3" t="s">
        <v>136</v>
      </c>
      <c r="C8" s="3" t="s">
        <v>137</v>
      </c>
    </row>
    <row r="9" spans="1:3" x14ac:dyDescent="0.3">
      <c r="A9" s="3" t="s">
        <v>119</v>
      </c>
      <c r="B9" s="3" t="s">
        <v>138</v>
      </c>
      <c r="C9" s="3" t="s">
        <v>139</v>
      </c>
    </row>
    <row r="10" spans="1:3" x14ac:dyDescent="0.3">
      <c r="A10" s="3"/>
      <c r="B10" s="3"/>
      <c r="C10" s="3"/>
    </row>
    <row r="11" spans="1:3" x14ac:dyDescent="0.3">
      <c r="A11" s="3" t="s">
        <v>140</v>
      </c>
      <c r="B11" s="3"/>
      <c r="C11" s="3"/>
    </row>
    <row r="12" spans="1:3" x14ac:dyDescent="0.3">
      <c r="A12" s="3"/>
      <c r="B12" s="3" t="s">
        <v>141</v>
      </c>
      <c r="C12" s="3"/>
    </row>
    <row r="13" spans="1:3" x14ac:dyDescent="0.3">
      <c r="A13" s="3"/>
      <c r="B13" s="3" t="s">
        <v>142</v>
      </c>
      <c r="C13" s="3"/>
    </row>
    <row r="14" spans="1:3" x14ac:dyDescent="0.3">
      <c r="A14" s="3"/>
      <c r="B14" s="3" t="s">
        <v>143</v>
      </c>
      <c r="C14" s="3"/>
    </row>
    <row r="15" spans="1:3" x14ac:dyDescent="0.3">
      <c r="A15" s="3"/>
      <c r="B15" s="3" t="s">
        <v>144</v>
      </c>
      <c r="C15" s="3"/>
    </row>
    <row r="16" spans="1:3" x14ac:dyDescent="0.3">
      <c r="A16" s="3"/>
      <c r="B16" s="3" t="s">
        <v>145</v>
      </c>
      <c r="C16" s="3"/>
    </row>
    <row r="17" spans="1:3" x14ac:dyDescent="0.3">
      <c r="A17" s="3"/>
      <c r="B17" s="3" t="s">
        <v>146</v>
      </c>
      <c r="C17" s="3"/>
    </row>
    <row r="18" spans="1:3" x14ac:dyDescent="0.3">
      <c r="A18" s="3"/>
      <c r="B18" s="3" t="s">
        <v>147</v>
      </c>
      <c r="C18" s="3"/>
    </row>
    <row r="19" spans="1:3" x14ac:dyDescent="0.3">
      <c r="A19" s="3"/>
      <c r="B19" s="3" t="s">
        <v>148</v>
      </c>
      <c r="C19" s="3"/>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B82E9-E44E-4C3C-B571-F09302A01225}">
  <dimension ref="A1:G35"/>
  <sheetViews>
    <sheetView workbookViewId="0">
      <selection activeCell="M23" sqref="M23"/>
    </sheetView>
  </sheetViews>
  <sheetFormatPr defaultRowHeight="14.4" x14ac:dyDescent="0.3"/>
  <cols>
    <col min="1" max="1" width="10.21875" bestFit="1" customWidth="1"/>
    <col min="2" max="2" width="10.33203125" bestFit="1" customWidth="1"/>
    <col min="3" max="3" width="9" bestFit="1" customWidth="1"/>
    <col min="4" max="4" width="8.21875" customWidth="1"/>
    <col min="5" max="5" width="13.6640625" customWidth="1"/>
    <col min="6" max="6" width="7.5546875" bestFit="1" customWidth="1"/>
    <col min="7" max="7" width="10.5546875" bestFit="1" customWidth="1"/>
  </cols>
  <sheetData>
    <row r="1" spans="1:7" x14ac:dyDescent="0.3">
      <c r="A1" t="s">
        <v>0</v>
      </c>
      <c r="B1" t="s">
        <v>1</v>
      </c>
      <c r="C1" t="s">
        <v>2</v>
      </c>
      <c r="D1" t="s">
        <v>3</v>
      </c>
      <c r="E1" t="s">
        <v>4</v>
      </c>
      <c r="F1" t="s">
        <v>5</v>
      </c>
      <c r="G1" t="s">
        <v>6</v>
      </c>
    </row>
    <row r="2" spans="1:7" x14ac:dyDescent="0.3">
      <c r="A2">
        <v>1001</v>
      </c>
      <c r="B2" s="9">
        <v>45778</v>
      </c>
      <c r="C2" t="s">
        <v>8</v>
      </c>
      <c r="D2" t="s">
        <v>9</v>
      </c>
      <c r="E2" t="s">
        <v>10</v>
      </c>
      <c r="F2">
        <v>12</v>
      </c>
      <c r="G2">
        <v>18000</v>
      </c>
    </row>
    <row r="3" spans="1:7" x14ac:dyDescent="0.3">
      <c r="A3">
        <v>1002</v>
      </c>
      <c r="B3" s="9">
        <v>45664</v>
      </c>
      <c r="C3" t="s">
        <v>8</v>
      </c>
      <c r="D3" t="s">
        <v>149</v>
      </c>
      <c r="E3" t="s">
        <v>10</v>
      </c>
      <c r="F3">
        <v>8</v>
      </c>
      <c r="G3">
        <v>12000</v>
      </c>
    </row>
    <row r="4" spans="1:7" x14ac:dyDescent="0.3">
      <c r="A4">
        <v>1003</v>
      </c>
      <c r="B4" s="9">
        <v>45666</v>
      </c>
      <c r="C4" t="s">
        <v>16</v>
      </c>
      <c r="D4" t="s">
        <v>17</v>
      </c>
      <c r="E4" t="s">
        <v>18</v>
      </c>
      <c r="F4">
        <v>15</v>
      </c>
      <c r="G4">
        <v>22500</v>
      </c>
    </row>
    <row r="5" spans="1:7" x14ac:dyDescent="0.3">
      <c r="A5">
        <v>1004</v>
      </c>
      <c r="B5" s="9">
        <v>45667</v>
      </c>
      <c r="C5" t="s">
        <v>16</v>
      </c>
      <c r="D5" t="s">
        <v>21</v>
      </c>
      <c r="E5" t="s">
        <v>18</v>
      </c>
      <c r="F5">
        <v>10</v>
      </c>
      <c r="G5">
        <v>15000</v>
      </c>
    </row>
    <row r="6" spans="1:7" x14ac:dyDescent="0.3">
      <c r="A6">
        <v>1005</v>
      </c>
      <c r="B6" s="9">
        <v>45669</v>
      </c>
      <c r="C6" t="s">
        <v>23</v>
      </c>
      <c r="D6" t="s">
        <v>24</v>
      </c>
      <c r="E6" t="s">
        <v>25</v>
      </c>
      <c r="F6">
        <v>25</v>
      </c>
      <c r="G6">
        <v>8750</v>
      </c>
    </row>
    <row r="7" spans="1:7" x14ac:dyDescent="0.3">
      <c r="A7">
        <v>1006</v>
      </c>
      <c r="B7" s="9">
        <v>45670</v>
      </c>
      <c r="C7" t="s">
        <v>23</v>
      </c>
      <c r="D7" t="s">
        <v>24</v>
      </c>
      <c r="E7" t="s">
        <v>25</v>
      </c>
      <c r="F7">
        <v>20</v>
      </c>
      <c r="G7">
        <v>7000</v>
      </c>
    </row>
    <row r="8" spans="1:7" x14ac:dyDescent="0.3">
      <c r="A8">
        <v>1007</v>
      </c>
      <c r="B8" s="9">
        <v>45672</v>
      </c>
      <c r="C8" t="s">
        <v>30</v>
      </c>
      <c r="D8" t="s">
        <v>31</v>
      </c>
      <c r="E8" t="s">
        <v>10</v>
      </c>
      <c r="F8">
        <v>18</v>
      </c>
      <c r="G8">
        <v>27000</v>
      </c>
    </row>
    <row r="9" spans="1:7" x14ac:dyDescent="0.3">
      <c r="A9">
        <v>1008</v>
      </c>
      <c r="B9" s="9">
        <v>45674</v>
      </c>
      <c r="C9" t="s">
        <v>30</v>
      </c>
      <c r="D9" t="s">
        <v>31</v>
      </c>
      <c r="E9" t="s">
        <v>10</v>
      </c>
      <c r="F9">
        <v>10</v>
      </c>
      <c r="G9">
        <v>15000</v>
      </c>
    </row>
    <row r="10" spans="1:7" x14ac:dyDescent="0.3">
      <c r="A10">
        <v>1009</v>
      </c>
      <c r="B10" s="9">
        <v>45675</v>
      </c>
      <c r="C10" t="s">
        <v>8</v>
      </c>
      <c r="D10" t="s">
        <v>9</v>
      </c>
      <c r="E10" t="s">
        <v>18</v>
      </c>
      <c r="F10">
        <v>7</v>
      </c>
      <c r="G10">
        <v>10500</v>
      </c>
    </row>
    <row r="11" spans="1:7" x14ac:dyDescent="0.3">
      <c r="A11">
        <v>1010</v>
      </c>
      <c r="B11" s="9">
        <v>45677</v>
      </c>
      <c r="C11" t="s">
        <v>8</v>
      </c>
      <c r="D11" t="s">
        <v>9</v>
      </c>
      <c r="E11" t="s">
        <v>18</v>
      </c>
      <c r="F11">
        <v>9</v>
      </c>
      <c r="G11">
        <v>13500</v>
      </c>
    </row>
    <row r="12" spans="1:7" x14ac:dyDescent="0.3">
      <c r="A12">
        <v>1011</v>
      </c>
      <c r="B12" s="9">
        <v>45679</v>
      </c>
      <c r="C12" t="s">
        <v>16</v>
      </c>
      <c r="D12" t="s">
        <v>17</v>
      </c>
      <c r="E12" t="s">
        <v>10</v>
      </c>
      <c r="F12">
        <v>14</v>
      </c>
      <c r="G12">
        <v>21000</v>
      </c>
    </row>
    <row r="13" spans="1:7" x14ac:dyDescent="0.3">
      <c r="A13">
        <v>1012</v>
      </c>
      <c r="B13" s="9">
        <v>45680</v>
      </c>
      <c r="C13" t="s">
        <v>16</v>
      </c>
      <c r="D13" t="s">
        <v>17</v>
      </c>
      <c r="E13" t="s">
        <v>10</v>
      </c>
      <c r="F13">
        <v>0</v>
      </c>
      <c r="G13">
        <v>16500</v>
      </c>
    </row>
    <row r="14" spans="1:7" x14ac:dyDescent="0.3">
      <c r="A14">
        <v>1013</v>
      </c>
      <c r="B14" s="9">
        <v>45682</v>
      </c>
      <c r="C14" t="s">
        <v>23</v>
      </c>
      <c r="D14" t="s">
        <v>24</v>
      </c>
      <c r="E14" t="s">
        <v>18</v>
      </c>
      <c r="F14">
        <v>6</v>
      </c>
      <c r="G14">
        <v>9000</v>
      </c>
    </row>
    <row r="15" spans="1:7" x14ac:dyDescent="0.3">
      <c r="A15">
        <v>1014</v>
      </c>
      <c r="B15" s="9">
        <v>45684</v>
      </c>
      <c r="C15" t="s">
        <v>23</v>
      </c>
      <c r="D15" t="s">
        <v>24</v>
      </c>
      <c r="E15" t="s">
        <v>18</v>
      </c>
      <c r="F15">
        <v>8</v>
      </c>
      <c r="G15">
        <v>12000</v>
      </c>
    </row>
    <row r="16" spans="1:7" x14ac:dyDescent="0.3">
      <c r="A16">
        <v>1015</v>
      </c>
      <c r="B16" s="9">
        <v>45685</v>
      </c>
      <c r="C16" t="s">
        <v>30</v>
      </c>
      <c r="D16" t="s">
        <v>31</v>
      </c>
      <c r="E16" t="s">
        <v>25</v>
      </c>
      <c r="F16">
        <v>30</v>
      </c>
      <c r="G16">
        <v>10500</v>
      </c>
    </row>
    <row r="17" spans="1:7" x14ac:dyDescent="0.3">
      <c r="A17">
        <v>1016</v>
      </c>
      <c r="B17" s="9">
        <v>45687</v>
      </c>
      <c r="C17" t="s">
        <v>30</v>
      </c>
      <c r="D17" t="s">
        <v>31</v>
      </c>
      <c r="E17" t="s">
        <v>25</v>
      </c>
      <c r="F17">
        <v>22</v>
      </c>
      <c r="G17">
        <v>7700</v>
      </c>
    </row>
    <row r="18" spans="1:7" x14ac:dyDescent="0.3">
      <c r="A18">
        <v>1017</v>
      </c>
      <c r="B18" s="9">
        <v>45690</v>
      </c>
      <c r="C18" t="s">
        <v>8</v>
      </c>
      <c r="D18" t="s">
        <v>9</v>
      </c>
      <c r="E18" t="s">
        <v>10</v>
      </c>
      <c r="F18">
        <v>16</v>
      </c>
      <c r="G18">
        <v>24000</v>
      </c>
    </row>
    <row r="19" spans="1:7" x14ac:dyDescent="0.3">
      <c r="A19">
        <v>1018</v>
      </c>
      <c r="B19" s="9">
        <v>45692</v>
      </c>
      <c r="C19" t="s">
        <v>8</v>
      </c>
      <c r="D19" t="s">
        <v>9</v>
      </c>
      <c r="E19" t="s">
        <v>10</v>
      </c>
      <c r="F19">
        <v>13</v>
      </c>
      <c r="G19">
        <v>19500</v>
      </c>
    </row>
    <row r="20" spans="1:7" x14ac:dyDescent="0.3">
      <c r="A20">
        <v>1019</v>
      </c>
      <c r="B20" s="9">
        <v>45694</v>
      </c>
      <c r="C20" t="s">
        <v>16</v>
      </c>
      <c r="D20" t="s">
        <v>17</v>
      </c>
      <c r="E20" t="s">
        <v>18</v>
      </c>
      <c r="F20">
        <v>12</v>
      </c>
      <c r="G20">
        <v>18000</v>
      </c>
    </row>
    <row r="21" spans="1:7" x14ac:dyDescent="0.3">
      <c r="A21">
        <v>1020</v>
      </c>
      <c r="B21" s="9">
        <v>45695</v>
      </c>
      <c r="C21" t="s">
        <v>16</v>
      </c>
      <c r="D21" t="s">
        <v>17</v>
      </c>
      <c r="E21" t="s">
        <v>18</v>
      </c>
      <c r="F21">
        <v>9</v>
      </c>
      <c r="G21">
        <v>13500</v>
      </c>
    </row>
    <row r="22" spans="1:7" x14ac:dyDescent="0.3">
      <c r="A22">
        <v>1021</v>
      </c>
      <c r="B22" s="9">
        <v>45697</v>
      </c>
      <c r="C22" t="s">
        <v>23</v>
      </c>
      <c r="D22" t="s">
        <v>24</v>
      </c>
      <c r="E22" t="s">
        <v>25</v>
      </c>
      <c r="F22">
        <v>28</v>
      </c>
      <c r="G22">
        <v>9800</v>
      </c>
    </row>
    <row r="23" spans="1:7" x14ac:dyDescent="0.3">
      <c r="A23">
        <v>1022</v>
      </c>
      <c r="B23" s="9">
        <v>45698</v>
      </c>
      <c r="C23" t="s">
        <v>23</v>
      </c>
      <c r="D23" t="s">
        <v>24</v>
      </c>
      <c r="E23" t="s">
        <v>25</v>
      </c>
      <c r="F23">
        <v>24</v>
      </c>
      <c r="G23">
        <v>8400</v>
      </c>
    </row>
    <row r="24" spans="1:7" x14ac:dyDescent="0.3">
      <c r="A24">
        <v>1023</v>
      </c>
      <c r="B24" s="9">
        <v>45700</v>
      </c>
      <c r="C24" t="s">
        <v>30</v>
      </c>
      <c r="D24" t="s">
        <v>31</v>
      </c>
      <c r="E24" t="s">
        <v>10</v>
      </c>
      <c r="F24">
        <v>20</v>
      </c>
      <c r="G24">
        <v>30000</v>
      </c>
    </row>
    <row r="25" spans="1:7" x14ac:dyDescent="0.3">
      <c r="A25">
        <v>1024</v>
      </c>
      <c r="B25" s="9">
        <v>45702</v>
      </c>
      <c r="C25" t="s">
        <v>30</v>
      </c>
      <c r="D25" t="s">
        <v>31</v>
      </c>
      <c r="E25" t="s">
        <v>10</v>
      </c>
      <c r="F25">
        <v>17</v>
      </c>
      <c r="G25">
        <v>25500</v>
      </c>
    </row>
    <row r="26" spans="1:7" x14ac:dyDescent="0.3">
      <c r="A26">
        <v>1025</v>
      </c>
      <c r="B26" s="9">
        <v>45703</v>
      </c>
      <c r="C26" t="s">
        <v>8</v>
      </c>
      <c r="D26" t="s">
        <v>9</v>
      </c>
      <c r="E26" t="s">
        <v>18</v>
      </c>
      <c r="F26">
        <v>11</v>
      </c>
      <c r="G26">
        <v>16500</v>
      </c>
    </row>
    <row r="27" spans="1:7" x14ac:dyDescent="0.3">
      <c r="A27">
        <v>1026</v>
      </c>
      <c r="B27" s="9">
        <v>45704</v>
      </c>
      <c r="C27" t="s">
        <v>8</v>
      </c>
      <c r="D27" t="s">
        <v>9</v>
      </c>
      <c r="E27" t="s">
        <v>18</v>
      </c>
      <c r="F27">
        <v>10</v>
      </c>
      <c r="G27">
        <v>15000</v>
      </c>
    </row>
    <row r="28" spans="1:7" x14ac:dyDescent="0.3">
      <c r="A28">
        <v>1027</v>
      </c>
      <c r="B28" s="9">
        <v>45706</v>
      </c>
      <c r="C28" t="s">
        <v>16</v>
      </c>
      <c r="D28" t="s">
        <v>17</v>
      </c>
      <c r="E28" t="s">
        <v>25</v>
      </c>
      <c r="F28">
        <v>32</v>
      </c>
      <c r="G28">
        <v>11200</v>
      </c>
    </row>
    <row r="29" spans="1:7" x14ac:dyDescent="0.3">
      <c r="A29">
        <v>1028</v>
      </c>
      <c r="B29" s="9">
        <v>45708</v>
      </c>
      <c r="C29" t="s">
        <v>16</v>
      </c>
      <c r="D29" t="s">
        <v>17</v>
      </c>
      <c r="E29" t="s">
        <v>25</v>
      </c>
      <c r="F29">
        <v>27</v>
      </c>
      <c r="G29">
        <v>9450</v>
      </c>
    </row>
    <row r="30" spans="1:7" x14ac:dyDescent="0.3">
      <c r="A30">
        <v>1029</v>
      </c>
      <c r="B30" s="9">
        <v>45710</v>
      </c>
      <c r="C30" t="s">
        <v>23</v>
      </c>
      <c r="D30" t="s">
        <v>24</v>
      </c>
      <c r="E30" t="s">
        <v>10</v>
      </c>
      <c r="F30">
        <v>9</v>
      </c>
      <c r="G30">
        <v>13500</v>
      </c>
    </row>
    <row r="31" spans="1:7" x14ac:dyDescent="0.3">
      <c r="A31">
        <v>1030</v>
      </c>
      <c r="B31" s="9">
        <v>45711</v>
      </c>
      <c r="C31" t="s">
        <v>23</v>
      </c>
      <c r="D31" t="s">
        <v>24</v>
      </c>
      <c r="E31" t="s">
        <v>10</v>
      </c>
      <c r="F31">
        <v>12</v>
      </c>
      <c r="G31">
        <v>18000</v>
      </c>
    </row>
    <row r="32" spans="1:7" x14ac:dyDescent="0.3">
      <c r="A32">
        <v>1031</v>
      </c>
      <c r="B32" s="9">
        <v>45713</v>
      </c>
      <c r="C32" t="s">
        <v>30</v>
      </c>
      <c r="D32" t="s">
        <v>31</v>
      </c>
      <c r="E32" t="s">
        <v>18</v>
      </c>
      <c r="F32">
        <v>14</v>
      </c>
      <c r="G32">
        <v>21000</v>
      </c>
    </row>
    <row r="33" spans="1:7" x14ac:dyDescent="0.3">
      <c r="A33">
        <v>1032</v>
      </c>
      <c r="B33" s="9">
        <v>45715</v>
      </c>
      <c r="C33" t="s">
        <v>30</v>
      </c>
      <c r="D33" t="s">
        <v>31</v>
      </c>
      <c r="E33" t="s">
        <v>18</v>
      </c>
      <c r="F33">
        <v>16</v>
      </c>
      <c r="G33">
        <v>24000</v>
      </c>
    </row>
    <row r="34" spans="1:7" x14ac:dyDescent="0.3">
      <c r="A34">
        <v>1033</v>
      </c>
      <c r="B34" s="9">
        <v>45716</v>
      </c>
      <c r="C34" t="s">
        <v>8</v>
      </c>
      <c r="D34" t="s">
        <v>9</v>
      </c>
      <c r="E34" t="s">
        <v>10</v>
      </c>
      <c r="F34">
        <v>15</v>
      </c>
      <c r="G34">
        <v>22500</v>
      </c>
    </row>
    <row r="35" spans="1:7" x14ac:dyDescent="0.3">
      <c r="A35">
        <v>1034</v>
      </c>
      <c r="B35" s="9">
        <v>45718</v>
      </c>
      <c r="C35" t="s">
        <v>8</v>
      </c>
      <c r="D35" t="s">
        <v>9</v>
      </c>
      <c r="E35" t="s">
        <v>10</v>
      </c>
      <c r="F35">
        <v>14</v>
      </c>
      <c r="G35">
        <v>21000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EB882-D900-41D9-BA2D-60C2751E38E4}">
  <dimension ref="A3:C38"/>
  <sheetViews>
    <sheetView topLeftCell="A3" workbookViewId="0">
      <selection activeCell="S26" sqref="S26"/>
    </sheetView>
  </sheetViews>
  <sheetFormatPr defaultRowHeight="14.4" x14ac:dyDescent="0.3"/>
  <cols>
    <col min="1" max="1" width="12.5546875" bestFit="1" customWidth="1"/>
    <col min="2" max="2" width="11.77734375" bestFit="1" customWidth="1"/>
    <col min="3" max="3" width="14.88671875" bestFit="1" customWidth="1"/>
  </cols>
  <sheetData>
    <row r="3" spans="1:2" x14ac:dyDescent="0.3">
      <c r="A3" s="10" t="s">
        <v>150</v>
      </c>
      <c r="B3" t="s">
        <v>152</v>
      </c>
    </row>
    <row r="4" spans="1:2" x14ac:dyDescent="0.3">
      <c r="A4" s="11" t="s">
        <v>8</v>
      </c>
      <c r="B4" s="14">
        <v>172500</v>
      </c>
    </row>
    <row r="5" spans="1:2" x14ac:dyDescent="0.3">
      <c r="A5" s="11" t="s">
        <v>30</v>
      </c>
      <c r="B5" s="14">
        <v>160700</v>
      </c>
    </row>
    <row r="6" spans="1:2" x14ac:dyDescent="0.3">
      <c r="A6" s="11" t="s">
        <v>16</v>
      </c>
      <c r="B6" s="14">
        <v>127150</v>
      </c>
    </row>
    <row r="7" spans="1:2" x14ac:dyDescent="0.3">
      <c r="A7" s="11" t="s">
        <v>23</v>
      </c>
      <c r="B7" s="14">
        <v>86450</v>
      </c>
    </row>
    <row r="8" spans="1:2" x14ac:dyDescent="0.3">
      <c r="A8" s="11" t="s">
        <v>151</v>
      </c>
      <c r="B8" s="14">
        <v>546800</v>
      </c>
    </row>
    <row r="11" spans="1:2" x14ac:dyDescent="0.3">
      <c r="A11" s="10" t="s">
        <v>150</v>
      </c>
      <c r="B11" t="s">
        <v>152</v>
      </c>
    </row>
    <row r="12" spans="1:2" x14ac:dyDescent="0.3">
      <c r="A12" s="11" t="s">
        <v>10</v>
      </c>
      <c r="B12" s="14">
        <v>283500</v>
      </c>
    </row>
    <row r="13" spans="1:2" x14ac:dyDescent="0.3">
      <c r="A13" s="11" t="s">
        <v>18</v>
      </c>
      <c r="B13" s="14">
        <v>190500</v>
      </c>
    </row>
    <row r="14" spans="1:2" x14ac:dyDescent="0.3">
      <c r="A14" s="11" t="s">
        <v>25</v>
      </c>
      <c r="B14" s="14">
        <v>72800</v>
      </c>
    </row>
    <row r="15" spans="1:2" x14ac:dyDescent="0.3">
      <c r="A15" s="11" t="s">
        <v>151</v>
      </c>
      <c r="B15" s="14">
        <v>546800</v>
      </c>
    </row>
    <row r="17" spans="1:2" x14ac:dyDescent="0.3">
      <c r="A17" s="10" t="s">
        <v>150</v>
      </c>
      <c r="B17" t="s">
        <v>152</v>
      </c>
    </row>
    <row r="18" spans="1:2" x14ac:dyDescent="0.3">
      <c r="A18" s="11" t="s">
        <v>153</v>
      </c>
      <c r="B18" s="14">
        <v>207950</v>
      </c>
    </row>
    <row r="19" spans="1:2" x14ac:dyDescent="0.3">
      <c r="A19" s="11" t="s">
        <v>154</v>
      </c>
      <c r="B19" s="14">
        <v>299850</v>
      </c>
    </row>
    <row r="20" spans="1:2" x14ac:dyDescent="0.3">
      <c r="A20" s="11" t="s">
        <v>155</v>
      </c>
      <c r="B20" s="14">
        <v>21000</v>
      </c>
    </row>
    <row r="21" spans="1:2" x14ac:dyDescent="0.3">
      <c r="A21" s="11" t="s">
        <v>156</v>
      </c>
      <c r="B21" s="14">
        <v>18000</v>
      </c>
    </row>
    <row r="22" spans="1:2" x14ac:dyDescent="0.3">
      <c r="A22" s="11" t="s">
        <v>151</v>
      </c>
      <c r="B22" s="14">
        <v>546800</v>
      </c>
    </row>
    <row r="25" spans="1:2" x14ac:dyDescent="0.3">
      <c r="A25" s="10" t="s">
        <v>150</v>
      </c>
      <c r="B25" t="s">
        <v>157</v>
      </c>
    </row>
    <row r="26" spans="1:2" x14ac:dyDescent="0.3">
      <c r="A26" s="11" t="s">
        <v>30</v>
      </c>
      <c r="B26" s="14">
        <v>147</v>
      </c>
    </row>
    <row r="27" spans="1:2" x14ac:dyDescent="0.3">
      <c r="A27" s="11" t="s">
        <v>8</v>
      </c>
      <c r="B27" s="14">
        <v>115</v>
      </c>
    </row>
    <row r="28" spans="1:2" x14ac:dyDescent="0.3">
      <c r="A28" s="11" t="s">
        <v>16</v>
      </c>
      <c r="B28" s="14">
        <v>119</v>
      </c>
    </row>
    <row r="29" spans="1:2" x14ac:dyDescent="0.3">
      <c r="A29" s="11" t="s">
        <v>23</v>
      </c>
      <c r="B29" s="14">
        <v>132</v>
      </c>
    </row>
    <row r="30" spans="1:2" x14ac:dyDescent="0.3">
      <c r="A30" s="11" t="s">
        <v>151</v>
      </c>
      <c r="B30" s="14">
        <v>513</v>
      </c>
    </row>
    <row r="33" spans="1:3" x14ac:dyDescent="0.3">
      <c r="A33" s="10" t="s">
        <v>150</v>
      </c>
      <c r="B33" t="s">
        <v>157</v>
      </c>
      <c r="C33" t="s">
        <v>152</v>
      </c>
    </row>
    <row r="34" spans="1:3" x14ac:dyDescent="0.3">
      <c r="A34" s="11" t="s">
        <v>30</v>
      </c>
      <c r="B34" s="14">
        <v>147</v>
      </c>
      <c r="C34" s="14">
        <v>160700</v>
      </c>
    </row>
    <row r="35" spans="1:3" x14ac:dyDescent="0.3">
      <c r="A35" s="11" t="s">
        <v>8</v>
      </c>
      <c r="B35" s="14">
        <v>115</v>
      </c>
      <c r="C35" s="14">
        <v>172500</v>
      </c>
    </row>
    <row r="36" spans="1:3" x14ac:dyDescent="0.3">
      <c r="A36" s="11" t="s">
        <v>16</v>
      </c>
      <c r="B36" s="14">
        <v>119</v>
      </c>
      <c r="C36" s="14">
        <v>127150</v>
      </c>
    </row>
    <row r="37" spans="1:3" x14ac:dyDescent="0.3">
      <c r="A37" s="11" t="s">
        <v>23</v>
      </c>
      <c r="B37" s="14">
        <v>132</v>
      </c>
      <c r="C37" s="14">
        <v>86450</v>
      </c>
    </row>
    <row r="38" spans="1:3" x14ac:dyDescent="0.3">
      <c r="A38" s="11" t="s">
        <v>151</v>
      </c>
      <c r="B38" s="14">
        <v>513</v>
      </c>
      <c r="C38" s="14">
        <v>546800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R37"/>
  <sheetViews>
    <sheetView tabSelected="1" zoomScale="90" zoomScaleNormal="90" workbookViewId="0">
      <selection activeCell="S6" sqref="S6"/>
    </sheetView>
  </sheetViews>
  <sheetFormatPr defaultRowHeight="14.4" x14ac:dyDescent="0.3"/>
  <cols>
    <col min="1" max="1" width="65" customWidth="1"/>
  </cols>
  <sheetData>
    <row r="2" spans="1:1" ht="21" x14ac:dyDescent="0.4">
      <c r="A2" s="15"/>
    </row>
    <row r="34" spans="1:18" ht="18" x14ac:dyDescent="0.35">
      <c r="A34" s="13"/>
      <c r="B34" s="13"/>
      <c r="C34" s="13"/>
      <c r="D34" s="13"/>
      <c r="E34" s="13"/>
      <c r="F34" s="13"/>
      <c r="G34" s="13"/>
      <c r="H34" s="13"/>
      <c r="I34" s="13"/>
      <c r="J34" s="13"/>
      <c r="K34" s="13"/>
      <c r="L34" s="13"/>
    </row>
    <row r="35" spans="1:18" x14ac:dyDescent="0.3">
      <c r="A35" s="12" t="s">
        <v>158</v>
      </c>
      <c r="B35" s="12"/>
      <c r="C35" s="12"/>
      <c r="D35" s="12"/>
      <c r="E35" s="12"/>
      <c r="F35" s="12"/>
      <c r="G35" s="12"/>
      <c r="H35" s="12"/>
      <c r="I35" s="12"/>
      <c r="J35" s="12"/>
      <c r="K35" s="12"/>
      <c r="L35" s="12"/>
      <c r="M35" s="12"/>
      <c r="N35" s="12"/>
      <c r="O35" s="12"/>
      <c r="P35" s="12"/>
      <c r="Q35" s="12"/>
      <c r="R35" s="12"/>
    </row>
    <row r="36" spans="1:18" x14ac:dyDescent="0.3">
      <c r="A36" s="16" t="s">
        <v>160</v>
      </c>
      <c r="B36" s="16"/>
      <c r="C36" s="16"/>
      <c r="D36" s="16"/>
      <c r="E36" s="16"/>
      <c r="F36" s="16"/>
      <c r="G36" s="16"/>
      <c r="H36" s="16"/>
      <c r="I36" s="16"/>
      <c r="J36" s="16"/>
      <c r="K36" s="16"/>
      <c r="L36" s="16"/>
      <c r="M36" s="16"/>
      <c r="N36" s="16"/>
      <c r="O36" s="16"/>
      <c r="P36" s="16"/>
      <c r="Q36" s="16"/>
      <c r="R36" s="16"/>
    </row>
    <row r="37" spans="1:18" x14ac:dyDescent="0.3">
      <c r="A37" s="16" t="s">
        <v>159</v>
      </c>
      <c r="B37" s="16"/>
      <c r="C37" s="16"/>
      <c r="D37" s="16"/>
      <c r="E37" s="16"/>
      <c r="F37" s="16"/>
      <c r="G37" s="16"/>
      <c r="H37" s="16"/>
      <c r="I37" s="16"/>
      <c r="J37" s="16"/>
      <c r="K37" s="16"/>
      <c r="L37" s="16"/>
      <c r="M37" s="16"/>
      <c r="N37" s="16"/>
      <c r="O37" s="16"/>
      <c r="P37" s="16"/>
      <c r="Q37" s="16"/>
      <c r="R37" s="16"/>
    </row>
  </sheetData>
  <mergeCells count="4">
    <mergeCell ref="A34:L34"/>
    <mergeCell ref="A35:R35"/>
    <mergeCell ref="A36:R36"/>
    <mergeCell ref="A37:R37"/>
  </mergeCells>
  <pageMargins left="0.75" right="0.75" top="1" bottom="1" header="0.5" footer="0.5"/>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B6239E8-2D9C-45F9-A46A-43FB625C9E6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Project_Instructions</vt:lpstr>
      <vt:lpstr>Answer_Key</vt:lpstr>
      <vt:lpstr>Clean__Sales__Data</vt:lpstr>
      <vt:lpstr>Analysis_Pivot_Table</vt:lpstr>
      <vt:lpstr>Student_Dashboard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Sneha Vivek</cp:lastModifiedBy>
  <dcterms:created xsi:type="dcterms:W3CDTF">2026-08-27T05:23:01Z</dcterms:created>
  <dcterms:modified xsi:type="dcterms:W3CDTF">2026-09-01T13:43:51Z</dcterms:modified>
</cp:coreProperties>
</file>